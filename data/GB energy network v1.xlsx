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nsw260_newcastle_ac_uk/Documents/Documents_Newcastle/Matlab Code/J15 hydrogen resilience/data/"/>
    </mc:Choice>
  </mc:AlternateContent>
  <xr:revisionPtr revIDLastSave="850" documentId="11_F25DC773A252ABDACC1048BD119E47FE5BDE58E9" xr6:coauthVersionLast="47" xr6:coauthVersionMax="47" xr10:uidLastSave="{1D4F183C-E6E2-4370-8887-78B85E0D464D}"/>
  <bookViews>
    <workbookView xWindow="-28920" yWindow="-120" windowWidth="29040" windowHeight="15840" tabRatio="609" activeTab="4" xr2:uid="{00000000-000D-0000-FFFF-FFFF00000000}"/>
  </bookViews>
  <sheets>
    <sheet name="bus" sheetId="1" r:id="rId1"/>
    <sheet name="branch" sheetId="4" r:id="rId2"/>
    <sheet name="gen" sheetId="2" r:id="rId3"/>
    <sheet name="gencost" sheetId="5" r:id="rId4"/>
    <sheet name="Gbus" sheetId="6" r:id="rId5"/>
    <sheet name="Gline" sheetId="7" r:id="rId6"/>
    <sheet name="Gsou" sheetId="8" r:id="rId7"/>
    <sheet name="Gcost" sheetId="9" r:id="rId8"/>
    <sheet name="Gstore" sheetId="12" r:id="rId9"/>
    <sheet name="GEcon" sheetId="10" r:id="rId10"/>
    <sheet name="ptg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2" i="7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3" i="6"/>
</calcChain>
</file>

<file path=xl/sharedStrings.xml><?xml version="1.0" encoding="utf-8"?>
<sst xmlns="http://schemas.openxmlformats.org/spreadsheetml/2006/main" count="978" uniqueCount="380">
  <si>
    <t>BusID</t>
  </si>
  <si>
    <t>BusPd</t>
  </si>
  <si>
    <t>BusQd</t>
  </si>
  <si>
    <t>Gs</t>
  </si>
  <si>
    <t>Bs</t>
  </si>
  <si>
    <t>ESystemID</t>
  </si>
  <si>
    <t>Vm</t>
  </si>
  <si>
    <t>Va</t>
  </si>
  <si>
    <t>Vmax</t>
  </si>
  <si>
    <t>Vmin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</si>
  <si>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</si>
  <si>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</si>
  <si>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</si>
  <si>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</si>
  <si>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</si>
  <si>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</si>
  <si>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</si>
  <si>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</si>
  <si>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</si>
  <si>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</si>
  <si>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</si>
  <si>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</si>
  <si>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</si>
  <si>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</si>
  <si>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RampRate</t>
  </si>
  <si>
    <t>ramp_10</t>
  </si>
  <si>
    <t>ramp_30</t>
  </si>
  <si>
    <t>ramp_q</t>
  </si>
  <si>
    <t>apf</t>
  </si>
  <si>
    <t>b</t>
  </si>
  <si>
    <t>RateA</t>
  </si>
  <si>
    <t>StartCost</t>
  </si>
  <si>
    <t>ShutCost</t>
  </si>
  <si>
    <t>CostA</t>
  </si>
  <si>
    <t>CostB</t>
  </si>
  <si>
    <t>CostC</t>
  </si>
  <si>
    <t>effciency</t>
    <phoneticPr fontId="0" type="noConversion"/>
  </si>
  <si>
    <t>min cap</t>
    <phoneticPr fontId="0" type="noConversion"/>
  </si>
  <si>
    <t>max cap</t>
    <phoneticPr fontId="0" type="noConversion"/>
  </si>
  <si>
    <t>Bus no</t>
  </si>
  <si>
    <t>Max consumption (MW)</t>
  </si>
  <si>
    <t>Voltage</t>
  </si>
  <si>
    <t>from paper Adequacy and security analysis of
interdependent electric and gas
networks (基本上数据和所谓新的一模一样）</t>
  </si>
  <si>
    <t>Power plant ramp rate</t>
  </si>
  <si>
    <t>PP typology</t>
  </si>
  <si>
    <t>Max. ramp rate (p.u./min)</t>
  </si>
  <si>
    <t>Hydro</t>
  </si>
  <si>
    <t>Pumped</t>
  </si>
  <si>
    <t>storage</t>
  </si>
  <si>
    <t>Nuclear</t>
  </si>
  <si>
    <t>OCGT</t>
  </si>
  <si>
    <t>CCGT/CHP</t>
  </si>
  <si>
    <t>Coal/Oil</t>
  </si>
  <si>
    <t>Unspecified</t>
  </si>
  <si>
    <t xml:space="preserve">Pumped storage </t>
  </si>
  <si>
    <t>Generators data.</t>
  </si>
  <si>
    <t>PP no.</t>
  </si>
  <si>
    <t>El. bus connection</t>
  </si>
  <si>
    <t>Max./Min. generation (MW)</t>
  </si>
  <si>
    <t>Typology</t>
  </si>
  <si>
    <t>Gas node connection</t>
  </si>
  <si>
    <t>554/277</t>
  </si>
  <si>
    <t>–</t>
  </si>
  <si>
    <t>300/150</t>
  </si>
  <si>
    <t>1524/762</t>
  </si>
  <si>
    <t>CCGT</t>
  </si>
  <si>
    <t>(GFPP</t>
  </si>
  <si>
    <t>1)</t>
  </si>
  <si>
    <t>CHP</t>
  </si>
  <si>
    <t>2)</t>
  </si>
  <si>
    <t>553/277</t>
  </si>
  <si>
    <t>259/130</t>
  </si>
  <si>
    <t>3)</t>
  </si>
  <si>
    <t>2284/1142</t>
  </si>
  <si>
    <t>Large</t>
  </si>
  <si>
    <t>unit</t>
  </si>
  <si>
    <t>coal</t>
  </si>
  <si>
    <t>440/220</t>
  </si>
  <si>
    <t>4)</t>
  </si>
  <si>
    <t>1074/537</t>
  </si>
  <si>
    <t>AGR</t>
  </si>
  <si>
    <t>33/17</t>
  </si>
  <si>
    <t>49/25</t>
  </si>
  <si>
    <t>1215/608</t>
  </si>
  <si>
    <t>1102/551</t>
  </si>
  <si>
    <t>Medium</t>
  </si>
  <si>
    <t>1875/938</t>
  </si>
  <si>
    <t>5)</t>
  </si>
  <si>
    <t>1207/604</t>
  </si>
  <si>
    <t>420/210</t>
  </si>
  <si>
    <t>small</t>
  </si>
  <si>
    <t>1039/520</t>
  </si>
  <si>
    <t>6)</t>
  </si>
  <si>
    <t>155/78</t>
  </si>
  <si>
    <t>7)</t>
  </si>
  <si>
    <t>2406/1203</t>
  </si>
  <si>
    <t>1987/994</t>
  </si>
  <si>
    <t>1885/943</t>
  </si>
  <si>
    <t>8)</t>
  </si>
  <si>
    <t>210/105</t>
  </si>
  <si>
    <t>9)</t>
  </si>
  <si>
    <t>980/490</t>
  </si>
  <si>
    <t>Magnox</t>
  </si>
  <si>
    <t>2004/1002</t>
  </si>
  <si>
    <t>7832/3916</t>
  </si>
  <si>
    <t>7040/3520</t>
  </si>
  <si>
    <t>10)</t>
  </si>
  <si>
    <t>1218/609</t>
  </si>
  <si>
    <t>11)</t>
  </si>
  <si>
    <t>3987/1994</t>
  </si>
  <si>
    <t>2021/1011</t>
  </si>
  <si>
    <t>228/114</t>
  </si>
  <si>
    <t>12)</t>
  </si>
  <si>
    <t>1982/991</t>
  </si>
  <si>
    <t>2845/1423</t>
  </si>
  <si>
    <t>13)</t>
  </si>
  <si>
    <t>407/203</t>
  </si>
  <si>
    <t>1200/600</t>
  </si>
  <si>
    <t>PWR</t>
  </si>
  <si>
    <t>360/180</t>
  </si>
  <si>
    <t>665/333</t>
  </si>
  <si>
    <t>14)</t>
  </si>
  <si>
    <t>401/201</t>
  </si>
  <si>
    <t>15)</t>
  </si>
  <si>
    <t>4431/2216</t>
  </si>
  <si>
    <t>16)</t>
  </si>
  <si>
    <t>100/50</t>
  </si>
  <si>
    <t>17)</t>
  </si>
  <si>
    <t>3801/1901</t>
  </si>
  <si>
    <t>363/182</t>
  </si>
  <si>
    <t>Small</t>
  </si>
  <si>
    <t>470/235</t>
  </si>
  <si>
    <t>2123/1062</t>
  </si>
  <si>
    <t>18)</t>
  </si>
  <si>
    <t>1245/623</t>
  </si>
  <si>
    <t>Oil</t>
  </si>
  <si>
    <t>3165/1583</t>
  </si>
  <si>
    <t>19)</t>
  </si>
  <si>
    <t>1966/983</t>
  </si>
  <si>
    <t>1131/566</t>
  </si>
  <si>
    <t>1355/678</t>
  </si>
  <si>
    <t>1081/541</t>
  </si>
  <si>
    <t>1320/660</t>
  </si>
  <si>
    <t>20)</t>
  </si>
  <si>
    <t>208/104</t>
  </si>
  <si>
    <t>21)</t>
  </si>
  <si>
    <t>905/453</t>
  </si>
  <si>
    <t>22)</t>
  </si>
  <si>
    <t>140/70</t>
  </si>
  <si>
    <t>23)</t>
  </si>
  <si>
    <t>1261/631</t>
  </si>
  <si>
    <t>Gas network node data.</t>
  </si>
  <si>
    <t>Node number</t>
  </si>
  <si>
    <t>Initial pressure (Pa)</t>
  </si>
  <si>
    <t>% of Load or source</t>
  </si>
  <si>
    <t>+</t>
  </si>
  <si>
    <t>St.</t>
  </si>
  <si>
    <t>Fergus</t>
  </si>
  <si>
    <t>Terminal</t>
  </si>
  <si>
    <t>Theddlethorpe</t>
  </si>
  <si>
    <t>Teesside</t>
  </si>
  <si>
    <t>Burton</t>
  </si>
  <si>
    <t>Point</t>
  </si>
  <si>
    <t>Barrow</t>
  </si>
  <si>
    <t>Bacton</t>
  </si>
  <si>
    <t>IOG</t>
  </si>
  <si>
    <t>Easington</t>
  </si>
  <si>
    <t>Milford</t>
  </si>
  <si>
    <t>Haven</t>
  </si>
  <si>
    <t>把电力和天然气的负荷按照2024年的全年平均值对齐</t>
  </si>
  <si>
    <t>St. Fergus</t>
  </si>
  <si>
    <t>Aberdeen</t>
  </si>
  <si>
    <t>Glenmavis</t>
  </si>
  <si>
    <t>Bathgate</t>
  </si>
  <si>
    <t>Bishop Auckland</t>
  </si>
  <si>
    <t>Longtown</t>
  </si>
  <si>
    <t>Lupton</t>
  </si>
  <si>
    <t>Wooler</t>
  </si>
  <si>
    <t>Howcleugh</t>
  </si>
  <si>
    <t>Asselby</t>
  </si>
  <si>
    <t>Paull</t>
  </si>
  <si>
    <t>Blyborough</t>
  </si>
  <si>
    <t>Theddkethorpe</t>
  </si>
  <si>
    <t>Hatton</t>
  </si>
  <si>
    <t>Kings Lynn</t>
  </si>
  <si>
    <t>Wisbech</t>
  </si>
  <si>
    <t>Peterborough</t>
  </si>
  <si>
    <t>Huntingdon</t>
  </si>
  <si>
    <t>Chelmsford</t>
  </si>
  <si>
    <t>Isle of Grain</t>
  </si>
  <si>
    <t>Shorne</t>
  </si>
  <si>
    <t>Steppingley</t>
  </si>
  <si>
    <t>Aylesbury</t>
  </si>
  <si>
    <t>Lockerley</t>
  </si>
  <si>
    <t>Ilchester</t>
  </si>
  <si>
    <t>Warrington</t>
  </si>
  <si>
    <t>Maelor</t>
  </si>
  <si>
    <t>Mickle Trafford</t>
  </si>
  <si>
    <t>Audley</t>
  </si>
  <si>
    <t>Alrewas</t>
  </si>
  <si>
    <t>Churchover</t>
  </si>
  <si>
    <t>Wormington</t>
  </si>
  <si>
    <t>Llanvetherine</t>
  </si>
  <si>
    <t>Dowlais</t>
  </si>
  <si>
    <t>Milford Haven</t>
  </si>
  <si>
    <t>Felindre</t>
  </si>
  <si>
    <t>Pucklechurch</t>
  </si>
  <si>
    <t>Rough</t>
  </si>
  <si>
    <t>Seabank</t>
  </si>
  <si>
    <t>Horn sea</t>
  </si>
  <si>
    <t>Partington</t>
  </si>
  <si>
    <t>Hatfield</t>
  </si>
  <si>
    <t>Pipeline</t>
  </si>
  <si>
    <t>Pressure</t>
  </si>
  <si>
    <t>regulator</t>
  </si>
  <si>
    <t>Electrical</t>
  </si>
  <si>
    <t>compressor(1)</t>
  </si>
  <si>
    <t>compressor(2)</t>
  </si>
  <si>
    <t>Compressor(3)</t>
  </si>
  <si>
    <t>Compressor(4)</t>
  </si>
  <si>
    <t>Compressor(5)</t>
  </si>
  <si>
    <t>Compressor(6)</t>
  </si>
  <si>
    <t>Compressor(7)</t>
  </si>
  <si>
    <t>compressor(8)</t>
  </si>
  <si>
    <t>Compressor(9)</t>
  </si>
  <si>
    <t>Compressor(10)</t>
  </si>
  <si>
    <t>Compressor(11)</t>
  </si>
  <si>
    <t>compressor(12)</t>
  </si>
  <si>
    <t>Compressor(13)</t>
  </si>
  <si>
    <t>Compressor(14)</t>
  </si>
  <si>
    <t>Compressor(15)</t>
  </si>
  <si>
    <t>Compressor(16)</t>
  </si>
  <si>
    <t>Compressor(17)</t>
  </si>
  <si>
    <t>Compressor(18)</t>
  </si>
  <si>
    <t>Compressor(19)</t>
  </si>
  <si>
    <t>Compressor(20)</t>
  </si>
  <si>
    <t>compressor(21)</t>
  </si>
  <si>
    <t>raw data</t>
  </si>
  <si>
    <t>Length(m)</t>
  </si>
  <si>
    <t>Diameter(m)</t>
  </si>
  <si>
    <t>假设100% NG</t>
  </si>
  <si>
    <t>St. Fergus Terminal</t>
  </si>
  <si>
    <t>Theddlethorpe Terminal</t>
  </si>
  <si>
    <t>Teesside Terminal</t>
  </si>
  <si>
    <t>Burton Point Terminal</t>
  </si>
  <si>
    <t>Barrow Terminal</t>
  </si>
  <si>
    <t>Bacton Terminal</t>
  </si>
  <si>
    <t>Easington Terminal</t>
  </si>
  <si>
    <t>Milford Haven Terminal</t>
  </si>
  <si>
    <t>Node</t>
  </si>
  <si>
    <t>W. volume (m3)</t>
  </si>
  <si>
    <t>Cushion gas (m3)</t>
  </si>
  <si>
    <t>Ks</t>
  </si>
  <si>
    <t>K2s</t>
  </si>
  <si>
    <t>K1s</t>
  </si>
  <si>
    <t>max withd</t>
  </si>
  <si>
    <t>Max. inj. (m3/s)</t>
  </si>
  <si>
    <t>Adequacy and security analysis of
interdependent electric and gas
networks这篇文章没有max值，所以得从其他地方拿</t>
  </si>
  <si>
    <t>GTYS2021 TableA6.4</t>
  </si>
  <si>
    <t>Northern Triangle</t>
  </si>
  <si>
    <t>Canonbie</t>
  </si>
  <si>
    <t>St Fergus</t>
  </si>
  <si>
    <t>North West</t>
  </si>
  <si>
    <t>Burton Point</t>
  </si>
  <si>
    <t>Cheshire (includes Holford and Stublach storage facilities)</t>
  </si>
  <si>
    <t>Fleetwood</t>
  </si>
  <si>
    <t>Hole House Farm (includes Hill Top Farm storage facility)</t>
  </si>
  <si>
    <t>Caythorpe</t>
  </si>
  <si>
    <t>Easington Area</t>
  </si>
  <si>
    <t>Garton (includes Aldbrough storage facility)</t>
  </si>
  <si>
    <t>Hatfield Moor (onshore)</t>
  </si>
  <si>
    <t>Hornsea</t>
  </si>
  <si>
    <t>Hatfield Moor (storage)</t>
  </si>
  <si>
    <t>Avonmouth</t>
  </si>
  <si>
    <t>Barton Stacey (includes Humbley Grove storage facility)</t>
  </si>
  <si>
    <t>Dynevor Arms</t>
  </si>
  <si>
    <t>South West</t>
  </si>
  <si>
    <t>Wytch Farm</t>
  </si>
  <si>
    <t>Bacton IP</t>
  </si>
  <si>
    <t>South East</t>
  </si>
  <si>
    <t>Bacton UKCS</t>
  </si>
  <si>
    <t>Entry zone</t>
  </si>
  <si>
    <t>ASEP</t>
  </si>
  <si>
    <t>Obligated capacity (GWh/day)</t>
  </si>
  <si>
    <t>2021/2022 GWh/day</t>
  </si>
  <si>
    <t>2025/2026 GWh/day</t>
  </si>
  <si>
    <t>2026/2027 GWh/day</t>
  </si>
  <si>
    <t>蓝色表示气源terminal，绿色表示LNG，其他是储气</t>
  </si>
  <si>
    <t>Isle of Grain Terminal</t>
  </si>
  <si>
    <t>英国是全国统一价格。调度者在调度时不考虑能源成本最优，而是考虑边际操作最优（比如压缩机少用能等）</t>
  </si>
  <si>
    <t>从ofgem下载https://www.ofgem.gov.uk/energy-data-and-research/data-portal/wholesale-market-indicators</t>
  </si>
  <si>
    <t>DateTime</t>
  </si>
  <si>
    <t>Gas cost (£/GWh)</t>
  </si>
  <si>
    <t>electricity bus</t>
  </si>
  <si>
    <t>gas bus</t>
  </si>
  <si>
    <t>近期的根据政府竞标结果https://www.gov.uk/government/collections/hydrogen-allocation-rounds#hydrogen-allocation-round-1-(har1)</t>
  </si>
  <si>
    <t>'Beauly'</t>
  </si>
  <si>
    <t>'Peterhead'</t>
  </si>
  <si>
    <t>'Errochty'</t>
  </si>
  <si>
    <t>'Denny/Bonnybridge'</t>
  </si>
  <si>
    <t>'Neilston'</t>
  </si>
  <si>
    <t>'Strathaven'</t>
  </si>
  <si>
    <t>'Torness'</t>
  </si>
  <si>
    <t>'Eccles'</t>
  </si>
  <si>
    <t>'Harker'</t>
  </si>
  <si>
    <t>'Stella West'</t>
  </si>
  <si>
    <t>'Penwortham'</t>
  </si>
  <si>
    <t>'Deeside'</t>
  </si>
  <si>
    <t>'Daines'</t>
  </si>
  <si>
    <t>'Th. Marsh/Stocksbridge'</t>
  </si>
  <si>
    <t>'Thornton/Drax/Eggborough'</t>
  </si>
  <si>
    <t>'Keadby'</t>
  </si>
  <si>
    <t>'Ratcliffe'</t>
  </si>
  <si>
    <t>'Feckenham'</t>
  </si>
  <si>
    <t>'Walpole'</t>
  </si>
  <si>
    <t>'Bramford'</t>
  </si>
  <si>
    <t>'Pelham'</t>
  </si>
  <si>
    <t>'Sundon/East Claydon'</t>
  </si>
  <si>
    <t>'Melksham'</t>
  </si>
  <si>
    <t>'Bramley'</t>
  </si>
  <si>
    <t>'London'</t>
  </si>
  <si>
    <t>'Kemsley'</t>
  </si>
  <si>
    <t>'Sellindge'</t>
  </si>
  <si>
    <t>'Lovedean'</t>
  </si>
  <si>
    <t>'S.W.Penisula'</t>
  </si>
  <si>
    <t>'Netherlands'</t>
  </si>
  <si>
    <t>'Belgium'</t>
  </si>
  <si>
    <t>'France1'</t>
  </si>
  <si>
    <t>'France2'</t>
  </si>
  <si>
    <t>'Ireland'</t>
  </si>
  <si>
    <t>'N. Ireland'</t>
  </si>
  <si>
    <t>Order</t>
  </si>
  <si>
    <t>BaseKV</t>
  </si>
  <si>
    <t>Zone</t>
  </si>
  <si>
    <t>Type</t>
  </si>
  <si>
    <t>RateB</t>
  </si>
  <si>
    <t>RateC</t>
  </si>
  <si>
    <t>Angle</t>
  </si>
  <si>
    <t>Status</t>
  </si>
  <si>
    <t>CostType</t>
  </si>
  <si>
    <t>BusType</t>
  </si>
  <si>
    <t>Demand</t>
  </si>
  <si>
    <t>pr0</t>
  </si>
  <si>
    <t>Name</t>
  </si>
  <si>
    <t>Lat</t>
  </si>
  <si>
    <t>Lon</t>
  </si>
  <si>
    <t>FromBus</t>
  </si>
  <si>
    <t>ToBus</t>
  </si>
  <si>
    <t>C</t>
  </si>
  <si>
    <t>gf_min</t>
  </si>
  <si>
    <t>gf_max</t>
  </si>
  <si>
    <t>(km)</t>
  </si>
  <si>
    <t>Length</t>
  </si>
  <si>
    <t>Diameter</t>
  </si>
  <si>
    <t>(m)</t>
  </si>
  <si>
    <t>Friction</t>
  </si>
  <si>
    <t>Predirection</t>
  </si>
  <si>
    <t>Qgs0</t>
  </si>
  <si>
    <t>Qgs_min</t>
  </si>
  <si>
    <t>(GWh/day)</t>
  </si>
  <si>
    <t>Qgs_max</t>
  </si>
  <si>
    <t>Volume</t>
  </si>
  <si>
    <t>inj_max</t>
  </si>
  <si>
    <t>withd_max</t>
  </si>
  <si>
    <t>Cushion</t>
  </si>
  <si>
    <t>EbusID</t>
  </si>
  <si>
    <t>GbusID</t>
  </si>
  <si>
    <t>Price</t>
  </si>
  <si>
    <t>Pressure regulator</t>
  </si>
  <si>
    <t>Electrical compressor</t>
  </si>
  <si>
    <t>Gas compressor</t>
  </si>
  <si>
    <t>prs_min</t>
  </si>
  <si>
    <t>prs_max</t>
  </si>
  <si>
    <t>R</t>
  </si>
  <si>
    <t>X</t>
  </si>
  <si>
    <t>K</t>
  </si>
  <si>
    <t>ang_min</t>
  </si>
  <si>
    <t>ang_max</t>
  </si>
  <si>
    <t>%</t>
  </si>
  <si>
    <t>Topology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</si>
</sst>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" fontId="0" fillId="0" borderId="0" xfId="0" applyNumberFormat="1"/>
    <xf numFmtId="11" fontId="0" fillId="0" borderId="0" xfId="0" applyNumberFormat="1"/>
    <xf numFmtId="0" fontId="3" fillId="0" borderId="0" xfId="1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1" fillId="0" borderId="0" xfId="0" applyFont="1" applyAlignment="1">
      <alignment wrapText="1"/>
    </xf>
    <xf numFmtId="11" fontId="0" fillId="0" borderId="0" xfId="0" applyNumberFormat="1" applyAlignment="1">
      <alignment vertical="center" wrapText="1"/>
    </xf>
    <xf numFmtId="11" fontId="0" fillId="0" borderId="0" xfId="0" quotePrefix="1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enstreetmap.org/" TargetMode="External"/><Relationship Id="rId2" Type="http://schemas.openxmlformats.org/officeDocument/2006/relationships/hyperlink" Target="https://www.openstreetmap.org/" TargetMode="External"/><Relationship Id="rId1" Type="http://schemas.openxmlformats.org/officeDocument/2006/relationships/hyperlink" Target="https://www.openstreetmap.org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openstreetmap.org/" TargetMode="External"/><Relationship Id="rId4" Type="http://schemas.openxmlformats.org/officeDocument/2006/relationships/hyperlink" Target="https://www.openstreetmap.org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workbookViewId="0">
      <selection activeCell="J15" sqref="J15"/>
    </sheetView>
  </sheetViews>
  <sheetFormatPr defaultRowHeight="15" x14ac:dyDescent="0.25"/>
  <cols>
    <col min="7" max="7" width="10.28515625" bestFit="1" customWidth="1"/>
  </cols>
  <sheetData>
    <row r="1" spans="1:19" x14ac:dyDescent="0.25">
      <c r="A1" s="1" t="s">
        <v>0</v>
      </c>
      <c r="B1" s="1" t="s">
        <v>334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332</v>
      </c>
      <c r="K1" s="1" t="s">
        <v>333</v>
      </c>
      <c r="L1" s="1" t="s">
        <v>8</v>
      </c>
      <c r="M1" s="1" t="s">
        <v>9</v>
      </c>
      <c r="Q1" t="s">
        <v>39</v>
      </c>
      <c r="R1" t="s">
        <v>40</v>
      </c>
      <c r="S1" t="s">
        <v>41</v>
      </c>
    </row>
    <row r="2" spans="1:19" x14ac:dyDescent="0.25">
      <c r="A2">
        <v>1</v>
      </c>
      <c r="B2">
        <v>2</v>
      </c>
      <c r="C2">
        <v>468</v>
      </c>
      <c r="D2">
        <v>102</v>
      </c>
      <c r="E2">
        <v>0</v>
      </c>
      <c r="F2">
        <v>0</v>
      </c>
      <c r="G2">
        <v>1</v>
      </c>
      <c r="H2">
        <v>1</v>
      </c>
      <c r="I2">
        <v>0</v>
      </c>
      <c r="J2">
        <v>275</v>
      </c>
      <c r="K2">
        <v>1</v>
      </c>
      <c r="L2">
        <v>1.1000000000000001</v>
      </c>
      <c r="M2">
        <v>0.9</v>
      </c>
      <c r="O2" t="s">
        <v>296</v>
      </c>
      <c r="Q2">
        <v>1</v>
      </c>
      <c r="R2">
        <v>468</v>
      </c>
      <c r="S2">
        <v>275</v>
      </c>
    </row>
    <row r="3" spans="1:19" x14ac:dyDescent="0.25">
      <c r="A3">
        <v>2</v>
      </c>
      <c r="B3">
        <v>2</v>
      </c>
      <c r="C3">
        <v>513</v>
      </c>
      <c r="D3">
        <v>113</v>
      </c>
      <c r="E3">
        <v>0</v>
      </c>
      <c r="F3">
        <v>0</v>
      </c>
      <c r="G3">
        <v>1</v>
      </c>
      <c r="H3">
        <v>1</v>
      </c>
      <c r="I3">
        <v>0</v>
      </c>
      <c r="J3">
        <v>275</v>
      </c>
      <c r="K3">
        <v>1</v>
      </c>
      <c r="L3">
        <v>1.1000000000000001</v>
      </c>
      <c r="M3">
        <v>0.9</v>
      </c>
      <c r="O3" t="s">
        <v>297</v>
      </c>
      <c r="Q3">
        <v>2</v>
      </c>
      <c r="R3">
        <v>613</v>
      </c>
      <c r="S3">
        <v>275</v>
      </c>
    </row>
    <row r="4" spans="1:19" x14ac:dyDescent="0.25">
      <c r="A4">
        <v>3</v>
      </c>
      <c r="B4">
        <v>2</v>
      </c>
      <c r="C4">
        <v>555</v>
      </c>
      <c r="D4">
        <v>105</v>
      </c>
      <c r="E4">
        <v>0</v>
      </c>
      <c r="F4">
        <v>0</v>
      </c>
      <c r="G4">
        <v>1</v>
      </c>
      <c r="H4">
        <v>1</v>
      </c>
      <c r="I4">
        <v>0</v>
      </c>
      <c r="J4">
        <v>132</v>
      </c>
      <c r="K4">
        <v>1</v>
      </c>
      <c r="L4">
        <v>1.1000000000000001</v>
      </c>
      <c r="M4">
        <v>0.9</v>
      </c>
      <c r="O4" t="s">
        <v>298</v>
      </c>
      <c r="Q4">
        <v>3</v>
      </c>
      <c r="R4">
        <v>555</v>
      </c>
      <c r="S4">
        <v>132</v>
      </c>
    </row>
    <row r="5" spans="1:19" x14ac:dyDescent="0.25">
      <c r="A5">
        <v>4</v>
      </c>
      <c r="B5">
        <v>2</v>
      </c>
      <c r="C5">
        <v>1308</v>
      </c>
      <c r="D5">
        <v>317</v>
      </c>
      <c r="E5">
        <v>0</v>
      </c>
      <c r="F5">
        <v>0</v>
      </c>
      <c r="G5">
        <v>1</v>
      </c>
      <c r="H5">
        <v>1</v>
      </c>
      <c r="I5">
        <v>0</v>
      </c>
      <c r="J5">
        <v>275</v>
      </c>
      <c r="K5">
        <v>1</v>
      </c>
      <c r="L5">
        <v>1.1000000000000001</v>
      </c>
      <c r="M5">
        <v>0.9</v>
      </c>
      <c r="O5" t="s">
        <v>299</v>
      </c>
      <c r="Q5">
        <v>4</v>
      </c>
      <c r="R5">
        <v>1308</v>
      </c>
      <c r="S5">
        <v>275</v>
      </c>
    </row>
    <row r="6" spans="1:19" x14ac:dyDescent="0.25">
      <c r="A6">
        <v>5</v>
      </c>
      <c r="B6">
        <v>2</v>
      </c>
      <c r="C6">
        <v>502</v>
      </c>
      <c r="D6">
        <v>128</v>
      </c>
      <c r="E6">
        <v>0</v>
      </c>
      <c r="F6">
        <v>0</v>
      </c>
      <c r="G6">
        <v>1</v>
      </c>
      <c r="H6">
        <v>1</v>
      </c>
      <c r="I6">
        <v>0</v>
      </c>
      <c r="J6">
        <v>400</v>
      </c>
      <c r="K6">
        <v>1</v>
      </c>
      <c r="L6">
        <v>1.1000000000000001</v>
      </c>
      <c r="M6">
        <v>0.9</v>
      </c>
      <c r="O6" t="s">
        <v>300</v>
      </c>
      <c r="Q6">
        <v>5</v>
      </c>
      <c r="R6">
        <v>502</v>
      </c>
      <c r="S6">
        <v>400</v>
      </c>
    </row>
    <row r="7" spans="1:19" x14ac:dyDescent="0.25">
      <c r="A7">
        <v>6</v>
      </c>
      <c r="B7">
        <v>2</v>
      </c>
      <c r="C7">
        <v>1176</v>
      </c>
      <c r="D7">
        <v>315</v>
      </c>
      <c r="E7">
        <v>0</v>
      </c>
      <c r="F7">
        <v>0</v>
      </c>
      <c r="G7">
        <v>1</v>
      </c>
      <c r="H7">
        <v>1</v>
      </c>
      <c r="I7">
        <v>0</v>
      </c>
      <c r="J7">
        <v>400</v>
      </c>
      <c r="K7">
        <v>1</v>
      </c>
      <c r="L7">
        <v>1.1000000000000001</v>
      </c>
      <c r="M7">
        <v>0.9</v>
      </c>
      <c r="O7" t="s">
        <v>301</v>
      </c>
      <c r="Q7">
        <v>6</v>
      </c>
      <c r="R7">
        <v>1176</v>
      </c>
      <c r="S7">
        <v>400</v>
      </c>
    </row>
    <row r="8" spans="1:19" x14ac:dyDescent="0.25">
      <c r="A8">
        <v>7</v>
      </c>
      <c r="B8">
        <v>2</v>
      </c>
      <c r="C8">
        <v>745</v>
      </c>
      <c r="D8">
        <v>171</v>
      </c>
      <c r="E8">
        <v>0</v>
      </c>
      <c r="F8">
        <v>0</v>
      </c>
      <c r="G8">
        <v>1</v>
      </c>
      <c r="H8">
        <v>1</v>
      </c>
      <c r="I8">
        <v>0</v>
      </c>
      <c r="J8">
        <v>400</v>
      </c>
      <c r="K8">
        <v>1</v>
      </c>
      <c r="L8">
        <v>1.1000000000000001</v>
      </c>
      <c r="M8">
        <v>0.9</v>
      </c>
      <c r="O8" t="s">
        <v>302</v>
      </c>
      <c r="Q8">
        <v>7</v>
      </c>
      <c r="R8">
        <v>745</v>
      </c>
      <c r="S8">
        <v>400</v>
      </c>
    </row>
    <row r="9" spans="1:19" x14ac:dyDescent="0.25">
      <c r="A9">
        <v>8</v>
      </c>
      <c r="B9">
        <v>1</v>
      </c>
      <c r="C9">
        <v>117.5</v>
      </c>
      <c r="D9">
        <v>37.4</v>
      </c>
      <c r="E9">
        <v>0</v>
      </c>
      <c r="F9">
        <v>0</v>
      </c>
      <c r="G9">
        <v>1</v>
      </c>
      <c r="H9">
        <v>1</v>
      </c>
      <c r="I9">
        <v>0</v>
      </c>
      <c r="J9">
        <v>400</v>
      </c>
      <c r="K9">
        <v>1</v>
      </c>
      <c r="L9">
        <v>1.1000000000000001</v>
      </c>
      <c r="M9">
        <v>0.9</v>
      </c>
      <c r="O9" t="s">
        <v>303</v>
      </c>
      <c r="Q9">
        <v>8</v>
      </c>
      <c r="R9">
        <v>117</v>
      </c>
      <c r="S9">
        <v>400</v>
      </c>
    </row>
    <row r="10" spans="1:19" x14ac:dyDescent="0.25">
      <c r="A10">
        <v>9</v>
      </c>
      <c r="B10">
        <v>1</v>
      </c>
      <c r="C10">
        <v>130</v>
      </c>
      <c r="D10">
        <v>53</v>
      </c>
      <c r="E10">
        <v>0</v>
      </c>
      <c r="F10">
        <v>0</v>
      </c>
      <c r="G10">
        <v>1</v>
      </c>
      <c r="H10">
        <v>1</v>
      </c>
      <c r="I10">
        <v>0</v>
      </c>
      <c r="J10">
        <v>400</v>
      </c>
      <c r="K10">
        <v>1</v>
      </c>
      <c r="L10">
        <v>1.1000000000000001</v>
      </c>
      <c r="M10">
        <v>0.9</v>
      </c>
      <c r="O10" t="s">
        <v>304</v>
      </c>
      <c r="Q10">
        <v>9</v>
      </c>
      <c r="R10">
        <v>130</v>
      </c>
      <c r="S10">
        <v>400</v>
      </c>
    </row>
    <row r="11" spans="1:19" x14ac:dyDescent="0.25">
      <c r="A11">
        <v>10</v>
      </c>
      <c r="B11">
        <v>2</v>
      </c>
      <c r="C11">
        <v>2561</v>
      </c>
      <c r="D11">
        <v>465</v>
      </c>
      <c r="E11">
        <v>0</v>
      </c>
      <c r="F11">
        <v>0</v>
      </c>
      <c r="G11">
        <v>1</v>
      </c>
      <c r="H11">
        <v>1</v>
      </c>
      <c r="I11">
        <v>0</v>
      </c>
      <c r="J11">
        <v>400</v>
      </c>
      <c r="K11">
        <v>1</v>
      </c>
      <c r="L11">
        <v>1.1000000000000001</v>
      </c>
      <c r="M11">
        <v>0.9</v>
      </c>
      <c r="O11" t="s">
        <v>305</v>
      </c>
      <c r="Q11">
        <v>10</v>
      </c>
      <c r="R11">
        <v>2561</v>
      </c>
      <c r="S11">
        <v>400</v>
      </c>
    </row>
    <row r="12" spans="1:19" x14ac:dyDescent="0.25">
      <c r="A12">
        <v>11</v>
      </c>
      <c r="B12">
        <v>2</v>
      </c>
      <c r="C12">
        <v>3360</v>
      </c>
      <c r="D12">
        <v>760</v>
      </c>
      <c r="E12">
        <v>0</v>
      </c>
      <c r="F12">
        <v>0</v>
      </c>
      <c r="G12">
        <v>1</v>
      </c>
      <c r="H12">
        <v>1</v>
      </c>
      <c r="I12">
        <v>0</v>
      </c>
      <c r="J12">
        <v>400</v>
      </c>
      <c r="K12">
        <v>1</v>
      </c>
      <c r="L12">
        <v>1.1000000000000001</v>
      </c>
      <c r="M12">
        <v>0.9</v>
      </c>
      <c r="O12" t="s">
        <v>306</v>
      </c>
      <c r="Q12">
        <v>11</v>
      </c>
      <c r="R12">
        <v>3360</v>
      </c>
      <c r="S12">
        <v>400</v>
      </c>
    </row>
    <row r="13" spans="1:19" x14ac:dyDescent="0.25">
      <c r="A13">
        <v>12</v>
      </c>
      <c r="B13">
        <v>2</v>
      </c>
      <c r="C13">
        <v>1189</v>
      </c>
      <c r="D13">
        <v>338</v>
      </c>
      <c r="E13">
        <v>0</v>
      </c>
      <c r="F13">
        <v>0</v>
      </c>
      <c r="G13">
        <v>1</v>
      </c>
      <c r="H13">
        <v>1</v>
      </c>
      <c r="I13">
        <v>0</v>
      </c>
      <c r="J13">
        <v>400</v>
      </c>
      <c r="K13">
        <v>1</v>
      </c>
      <c r="L13">
        <v>1.1000000000000001</v>
      </c>
      <c r="M13">
        <v>0.9</v>
      </c>
      <c r="O13" t="s">
        <v>307</v>
      </c>
      <c r="Q13">
        <v>12</v>
      </c>
      <c r="R13">
        <v>1189</v>
      </c>
      <c r="S13">
        <v>400</v>
      </c>
    </row>
    <row r="14" spans="1:19" x14ac:dyDescent="0.25">
      <c r="A14">
        <v>13</v>
      </c>
      <c r="B14">
        <v>1</v>
      </c>
      <c r="C14">
        <v>2524</v>
      </c>
      <c r="D14">
        <v>766</v>
      </c>
      <c r="E14">
        <v>0</v>
      </c>
      <c r="F14">
        <v>0</v>
      </c>
      <c r="G14">
        <v>1</v>
      </c>
      <c r="H14">
        <v>1</v>
      </c>
      <c r="I14">
        <v>0</v>
      </c>
      <c r="J14">
        <v>400</v>
      </c>
      <c r="K14">
        <v>1</v>
      </c>
      <c r="L14">
        <v>1.1000000000000001</v>
      </c>
      <c r="M14">
        <v>0.9</v>
      </c>
      <c r="O14" t="s">
        <v>308</v>
      </c>
      <c r="Q14">
        <v>13</v>
      </c>
      <c r="R14">
        <v>2574</v>
      </c>
      <c r="S14">
        <v>400</v>
      </c>
    </row>
    <row r="15" spans="1:19" x14ac:dyDescent="0.25">
      <c r="A15">
        <v>14</v>
      </c>
      <c r="B15">
        <v>1</v>
      </c>
      <c r="C15">
        <v>1831</v>
      </c>
      <c r="D15">
        <v>566.5</v>
      </c>
      <c r="E15">
        <v>0</v>
      </c>
      <c r="F15">
        <v>0</v>
      </c>
      <c r="G15">
        <v>1</v>
      </c>
      <c r="H15">
        <v>1</v>
      </c>
      <c r="I15">
        <v>0</v>
      </c>
      <c r="J15">
        <v>400</v>
      </c>
      <c r="K15">
        <v>1</v>
      </c>
      <c r="L15">
        <v>1.1000000000000001</v>
      </c>
      <c r="M15">
        <v>0.9</v>
      </c>
      <c r="O15" t="s">
        <v>309</v>
      </c>
      <c r="Q15">
        <v>14</v>
      </c>
      <c r="R15">
        <v>1831</v>
      </c>
      <c r="S15">
        <v>400</v>
      </c>
    </row>
    <row r="16" spans="1:19" x14ac:dyDescent="0.25">
      <c r="A16">
        <v>15</v>
      </c>
      <c r="B16">
        <v>2</v>
      </c>
      <c r="C16">
        <v>2633</v>
      </c>
      <c r="D16">
        <v>694.6</v>
      </c>
      <c r="E16">
        <v>0</v>
      </c>
      <c r="F16">
        <v>0</v>
      </c>
      <c r="G16">
        <v>1</v>
      </c>
      <c r="H16">
        <v>1</v>
      </c>
      <c r="I16">
        <v>0</v>
      </c>
      <c r="J16">
        <v>400</v>
      </c>
      <c r="K16">
        <v>1</v>
      </c>
      <c r="L16">
        <v>1.1000000000000001</v>
      </c>
      <c r="M16">
        <v>0.9</v>
      </c>
      <c r="O16" t="s">
        <v>310</v>
      </c>
      <c r="Q16">
        <v>15</v>
      </c>
      <c r="R16">
        <v>2633</v>
      </c>
      <c r="S16">
        <v>400</v>
      </c>
    </row>
    <row r="17" spans="1:19" x14ac:dyDescent="0.25">
      <c r="A17">
        <v>16</v>
      </c>
      <c r="B17">
        <v>2</v>
      </c>
      <c r="C17">
        <v>1607</v>
      </c>
      <c r="D17">
        <v>655</v>
      </c>
      <c r="E17">
        <v>0</v>
      </c>
      <c r="F17">
        <v>0</v>
      </c>
      <c r="G17">
        <v>1</v>
      </c>
      <c r="H17">
        <v>1</v>
      </c>
      <c r="I17">
        <v>0</v>
      </c>
      <c r="J17">
        <v>400</v>
      </c>
      <c r="K17">
        <v>1</v>
      </c>
      <c r="L17">
        <v>1.1000000000000001</v>
      </c>
      <c r="M17">
        <v>0.9</v>
      </c>
      <c r="O17" t="s">
        <v>311</v>
      </c>
      <c r="Q17">
        <v>16</v>
      </c>
      <c r="R17">
        <v>1607</v>
      </c>
      <c r="S17">
        <v>400</v>
      </c>
    </row>
    <row r="18" spans="1:19" x14ac:dyDescent="0.25">
      <c r="A18">
        <v>17</v>
      </c>
      <c r="B18">
        <v>2</v>
      </c>
      <c r="C18">
        <v>1081</v>
      </c>
      <c r="D18">
        <v>371</v>
      </c>
      <c r="E18">
        <v>0</v>
      </c>
      <c r="F18">
        <v>0</v>
      </c>
      <c r="G18">
        <v>1</v>
      </c>
      <c r="H18">
        <v>1</v>
      </c>
      <c r="I18">
        <v>0</v>
      </c>
      <c r="J18">
        <v>400</v>
      </c>
      <c r="K18">
        <v>1</v>
      </c>
      <c r="L18">
        <v>1.1000000000000001</v>
      </c>
      <c r="M18">
        <v>0.9</v>
      </c>
      <c r="O18" t="s">
        <v>312</v>
      </c>
      <c r="Q18">
        <v>17</v>
      </c>
      <c r="R18">
        <v>1081</v>
      </c>
      <c r="S18">
        <v>400</v>
      </c>
    </row>
    <row r="19" spans="1:19" x14ac:dyDescent="0.25">
      <c r="A19">
        <v>18</v>
      </c>
      <c r="B19">
        <v>2</v>
      </c>
      <c r="C19">
        <v>5362</v>
      </c>
      <c r="D19">
        <v>1935</v>
      </c>
      <c r="E19">
        <v>0</v>
      </c>
      <c r="F19">
        <v>0</v>
      </c>
      <c r="G19">
        <v>1</v>
      </c>
      <c r="H19">
        <v>1</v>
      </c>
      <c r="I19">
        <v>0</v>
      </c>
      <c r="J19">
        <v>400</v>
      </c>
      <c r="K19">
        <v>1</v>
      </c>
      <c r="L19">
        <v>1.1000000000000001</v>
      </c>
      <c r="M19">
        <v>0.9</v>
      </c>
      <c r="O19" t="s">
        <v>313</v>
      </c>
      <c r="Q19">
        <v>18</v>
      </c>
      <c r="R19">
        <v>5362</v>
      </c>
      <c r="S19">
        <v>400</v>
      </c>
    </row>
    <row r="20" spans="1:19" x14ac:dyDescent="0.25">
      <c r="A20">
        <v>19</v>
      </c>
      <c r="B20">
        <v>2</v>
      </c>
      <c r="C20">
        <v>2019</v>
      </c>
      <c r="D20">
        <v>648</v>
      </c>
      <c r="E20">
        <v>0</v>
      </c>
      <c r="F20">
        <v>0</v>
      </c>
      <c r="G20">
        <v>1</v>
      </c>
      <c r="H20">
        <v>1</v>
      </c>
      <c r="I20">
        <v>0</v>
      </c>
      <c r="J20">
        <v>400</v>
      </c>
      <c r="K20">
        <v>1</v>
      </c>
      <c r="L20">
        <v>1.1000000000000001</v>
      </c>
      <c r="M20">
        <v>0.9</v>
      </c>
      <c r="O20" t="s">
        <v>314</v>
      </c>
      <c r="Q20">
        <v>19</v>
      </c>
      <c r="R20">
        <v>2069</v>
      </c>
      <c r="S20">
        <v>400</v>
      </c>
    </row>
    <row r="21" spans="1:19" x14ac:dyDescent="0.25">
      <c r="A21">
        <v>20</v>
      </c>
      <c r="B21">
        <v>2</v>
      </c>
      <c r="C21">
        <v>1027.3599999999999</v>
      </c>
      <c r="D21">
        <v>305.8</v>
      </c>
      <c r="E21">
        <v>0</v>
      </c>
      <c r="F21">
        <v>0</v>
      </c>
      <c r="G21">
        <v>1</v>
      </c>
      <c r="H21">
        <v>1</v>
      </c>
      <c r="I21">
        <v>0</v>
      </c>
      <c r="J21">
        <v>400</v>
      </c>
      <c r="K21">
        <v>1</v>
      </c>
      <c r="L21">
        <v>1.1000000000000001</v>
      </c>
      <c r="M21">
        <v>0.9</v>
      </c>
      <c r="O21" t="s">
        <v>315</v>
      </c>
      <c r="Q21">
        <v>20</v>
      </c>
      <c r="R21">
        <v>1027</v>
      </c>
      <c r="S21">
        <v>400</v>
      </c>
    </row>
    <row r="22" spans="1:19" x14ac:dyDescent="0.25">
      <c r="A22">
        <v>21</v>
      </c>
      <c r="B22">
        <v>2</v>
      </c>
      <c r="C22">
        <v>702</v>
      </c>
      <c r="D22">
        <v>202.2</v>
      </c>
      <c r="E22">
        <v>0</v>
      </c>
      <c r="F22">
        <v>0</v>
      </c>
      <c r="G22">
        <v>1</v>
      </c>
      <c r="H22">
        <v>1</v>
      </c>
      <c r="I22">
        <v>0</v>
      </c>
      <c r="J22">
        <v>400</v>
      </c>
      <c r="K22">
        <v>1</v>
      </c>
      <c r="L22">
        <v>1.1000000000000001</v>
      </c>
      <c r="M22">
        <v>0.9</v>
      </c>
      <c r="O22" t="s">
        <v>316</v>
      </c>
      <c r="Q22">
        <v>21</v>
      </c>
      <c r="R22">
        <v>702</v>
      </c>
      <c r="S22">
        <v>400</v>
      </c>
    </row>
    <row r="23" spans="1:19" x14ac:dyDescent="0.25">
      <c r="A23">
        <v>22</v>
      </c>
      <c r="B23">
        <v>2</v>
      </c>
      <c r="C23">
        <v>1820</v>
      </c>
      <c r="D23">
        <v>665</v>
      </c>
      <c r="E23">
        <v>0</v>
      </c>
      <c r="F23">
        <v>0</v>
      </c>
      <c r="G23">
        <v>1</v>
      </c>
      <c r="H23">
        <v>1</v>
      </c>
      <c r="I23">
        <v>0</v>
      </c>
      <c r="J23">
        <v>400</v>
      </c>
      <c r="K23">
        <v>1</v>
      </c>
      <c r="L23">
        <v>1.1000000000000001</v>
      </c>
      <c r="M23">
        <v>0.9</v>
      </c>
      <c r="O23" t="s">
        <v>317</v>
      </c>
      <c r="Q23">
        <v>22</v>
      </c>
      <c r="R23">
        <v>1820</v>
      </c>
      <c r="S23">
        <v>400</v>
      </c>
    </row>
    <row r="24" spans="1:19" x14ac:dyDescent="0.25">
      <c r="A24">
        <v>23</v>
      </c>
      <c r="B24">
        <v>2</v>
      </c>
      <c r="C24">
        <v>4734</v>
      </c>
      <c r="D24">
        <v>1337</v>
      </c>
      <c r="E24">
        <v>0</v>
      </c>
      <c r="F24">
        <v>0</v>
      </c>
      <c r="G24">
        <v>1</v>
      </c>
      <c r="H24">
        <v>1</v>
      </c>
      <c r="I24">
        <v>0</v>
      </c>
      <c r="J24">
        <v>400</v>
      </c>
      <c r="K24">
        <v>1</v>
      </c>
      <c r="L24">
        <v>1.1000000000000001</v>
      </c>
      <c r="M24">
        <v>0.9</v>
      </c>
      <c r="O24" t="s">
        <v>318</v>
      </c>
      <c r="Q24">
        <v>23</v>
      </c>
      <c r="R24">
        <v>4784</v>
      </c>
      <c r="S24">
        <v>400</v>
      </c>
    </row>
    <row r="25" spans="1:19" x14ac:dyDescent="0.25">
      <c r="A25">
        <v>24</v>
      </c>
      <c r="B25">
        <v>1</v>
      </c>
      <c r="C25">
        <v>1418</v>
      </c>
      <c r="D25">
        <v>528</v>
      </c>
      <c r="E25">
        <v>0</v>
      </c>
      <c r="F25">
        <v>0</v>
      </c>
      <c r="G25">
        <v>1</v>
      </c>
      <c r="H25">
        <v>1</v>
      </c>
      <c r="I25">
        <v>0</v>
      </c>
      <c r="J25">
        <v>400</v>
      </c>
      <c r="K25">
        <v>1</v>
      </c>
      <c r="L25">
        <v>1.1000000000000001</v>
      </c>
      <c r="M25">
        <v>0.9</v>
      </c>
      <c r="O25" t="s">
        <v>319</v>
      </c>
      <c r="Q25">
        <v>24</v>
      </c>
      <c r="R25">
        <v>1418</v>
      </c>
      <c r="S25">
        <v>400</v>
      </c>
    </row>
    <row r="26" spans="1:19" x14ac:dyDescent="0.25">
      <c r="A26">
        <v>25</v>
      </c>
      <c r="B26">
        <v>2</v>
      </c>
      <c r="C26">
        <v>9734</v>
      </c>
      <c r="D26">
        <v>2902</v>
      </c>
      <c r="E26">
        <v>0</v>
      </c>
      <c r="F26">
        <v>0</v>
      </c>
      <c r="G26">
        <v>1</v>
      </c>
      <c r="H26">
        <v>1</v>
      </c>
      <c r="I26">
        <v>0</v>
      </c>
      <c r="J26">
        <v>400</v>
      </c>
      <c r="K26">
        <v>1</v>
      </c>
      <c r="L26">
        <v>1.1000000000000001</v>
      </c>
      <c r="M26">
        <v>0.9</v>
      </c>
      <c r="O26" t="s">
        <v>320</v>
      </c>
      <c r="Q26">
        <v>25</v>
      </c>
      <c r="R26">
        <v>9734</v>
      </c>
      <c r="S26">
        <v>400</v>
      </c>
    </row>
    <row r="27" spans="1:19" x14ac:dyDescent="0.25">
      <c r="A27">
        <v>26</v>
      </c>
      <c r="B27">
        <v>2</v>
      </c>
      <c r="C27">
        <v>1424</v>
      </c>
      <c r="D27">
        <v>434</v>
      </c>
      <c r="E27">
        <v>0</v>
      </c>
      <c r="F27">
        <v>0</v>
      </c>
      <c r="G27">
        <v>1</v>
      </c>
      <c r="H27">
        <v>1</v>
      </c>
      <c r="I27">
        <v>0</v>
      </c>
      <c r="J27">
        <v>400</v>
      </c>
      <c r="K27">
        <v>1</v>
      </c>
      <c r="L27">
        <v>1.1000000000000001</v>
      </c>
      <c r="M27">
        <v>0.9</v>
      </c>
      <c r="O27" t="s">
        <v>321</v>
      </c>
      <c r="Q27">
        <v>26</v>
      </c>
      <c r="R27">
        <v>1424</v>
      </c>
      <c r="S27">
        <v>400</v>
      </c>
    </row>
    <row r="28" spans="1:19" x14ac:dyDescent="0.25">
      <c r="A28">
        <v>27</v>
      </c>
      <c r="B28">
        <v>3</v>
      </c>
      <c r="C28">
        <v>457</v>
      </c>
      <c r="D28">
        <v>138</v>
      </c>
      <c r="E28">
        <v>0</v>
      </c>
      <c r="F28">
        <v>0</v>
      </c>
      <c r="G28">
        <v>1</v>
      </c>
      <c r="H28">
        <v>1</v>
      </c>
      <c r="I28">
        <v>0</v>
      </c>
      <c r="J28">
        <v>400</v>
      </c>
      <c r="K28">
        <v>1</v>
      </c>
      <c r="L28">
        <v>1.1000000000000001</v>
      </c>
      <c r="M28">
        <v>0.9</v>
      </c>
      <c r="O28" t="s">
        <v>322</v>
      </c>
      <c r="Q28">
        <v>27</v>
      </c>
      <c r="R28">
        <v>457</v>
      </c>
      <c r="S28">
        <v>400</v>
      </c>
    </row>
    <row r="29" spans="1:19" x14ac:dyDescent="0.25">
      <c r="A29">
        <v>28</v>
      </c>
      <c r="B29">
        <v>2</v>
      </c>
      <c r="C29">
        <v>2751</v>
      </c>
      <c r="D29">
        <v>841</v>
      </c>
      <c r="E29">
        <v>0</v>
      </c>
      <c r="F29">
        <v>0</v>
      </c>
      <c r="G29">
        <v>1</v>
      </c>
      <c r="H29">
        <v>1</v>
      </c>
      <c r="I29">
        <v>0</v>
      </c>
      <c r="J29">
        <v>400</v>
      </c>
      <c r="K29">
        <v>1</v>
      </c>
      <c r="L29">
        <v>1.1000000000000001</v>
      </c>
      <c r="M29">
        <v>0.9</v>
      </c>
      <c r="O29" t="s">
        <v>323</v>
      </c>
      <c r="Q29">
        <v>28</v>
      </c>
      <c r="R29">
        <v>2751</v>
      </c>
      <c r="S29">
        <v>400</v>
      </c>
    </row>
    <row r="30" spans="1:19" x14ac:dyDescent="0.25">
      <c r="A30">
        <v>29</v>
      </c>
      <c r="B30">
        <v>2</v>
      </c>
      <c r="C30">
        <v>2577</v>
      </c>
      <c r="D30">
        <v>356</v>
      </c>
      <c r="E30">
        <v>0</v>
      </c>
      <c r="F30">
        <v>0</v>
      </c>
      <c r="G30">
        <v>1</v>
      </c>
      <c r="H30">
        <v>1</v>
      </c>
      <c r="I30">
        <v>0</v>
      </c>
      <c r="J30">
        <v>400</v>
      </c>
      <c r="K30">
        <v>1</v>
      </c>
      <c r="L30">
        <v>1.1000000000000001</v>
      </c>
      <c r="M30">
        <v>0.9</v>
      </c>
      <c r="O30" t="s">
        <v>324</v>
      </c>
      <c r="Q30">
        <v>29</v>
      </c>
      <c r="R30">
        <v>2577</v>
      </c>
      <c r="S30">
        <v>400</v>
      </c>
    </row>
    <row r="31" spans="1:19" x14ac:dyDescent="0.25">
      <c r="O31" t="s">
        <v>325</v>
      </c>
    </row>
    <row r="32" spans="1:19" x14ac:dyDescent="0.25">
      <c r="O32" t="s">
        <v>326</v>
      </c>
    </row>
    <row r="33" spans="1:15" x14ac:dyDescent="0.25">
      <c r="O33" t="s">
        <v>327</v>
      </c>
    </row>
    <row r="34" spans="1:15" x14ac:dyDescent="0.25">
      <c r="A34" t="s">
        <v>42</v>
      </c>
      <c r="O34" t="s">
        <v>328</v>
      </c>
    </row>
    <row r="35" spans="1:15" x14ac:dyDescent="0.25">
      <c r="O35" t="s">
        <v>329</v>
      </c>
    </row>
    <row r="36" spans="1:15" x14ac:dyDescent="0.25">
      <c r="A36" t="s">
        <v>169</v>
      </c>
      <c r="O36" t="s">
        <v>330</v>
      </c>
    </row>
    <row r="37" spans="1:15" x14ac:dyDescent="0.25">
      <c r="A37" s="3">
        <v>28420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B667-8D7B-41FC-B3B2-D9364BEA64EA}">
  <dimension ref="A1:M100"/>
  <sheetViews>
    <sheetView workbookViewId="0">
      <selection sqref="A1:M1"/>
    </sheetView>
  </sheetViews>
  <sheetFormatPr defaultRowHeight="15" x14ac:dyDescent="0.25"/>
  <sheetData>
    <row r="1" spans="1:13" s="1" customFormat="1" x14ac:dyDescent="0.25">
      <c r="A1" s="1" t="s">
        <v>346</v>
      </c>
      <c r="B1" s="1" t="s">
        <v>347</v>
      </c>
      <c r="C1" s="1" t="s">
        <v>373</v>
      </c>
      <c r="D1" s="1" t="s">
        <v>374</v>
      </c>
      <c r="E1" s="1" t="s">
        <v>29</v>
      </c>
      <c r="F1" s="1" t="s">
        <v>30</v>
      </c>
      <c r="G1" s="1" t="s">
        <v>335</v>
      </c>
      <c r="H1" s="1" t="s">
        <v>336</v>
      </c>
      <c r="I1" s="1" t="s">
        <v>375</v>
      </c>
      <c r="J1" s="1" t="s">
        <v>337</v>
      </c>
      <c r="K1" s="1" t="s">
        <v>338</v>
      </c>
      <c r="L1" s="1" t="s">
        <v>376</v>
      </c>
      <c r="M1" s="1" t="s">
        <v>377</v>
      </c>
    </row>
    <row r="2" spans="1:13" x14ac:dyDescent="0.25">
      <c r="A2">
        <v>1</v>
      </c>
      <c r="B2">
        <v>2</v>
      </c>
      <c r="C2">
        <v>1.2200000000000001E-2</v>
      </c>
      <c r="D2">
        <v>0.02</v>
      </c>
      <c r="E2">
        <v>8.5599999999999996E-2</v>
      </c>
      <c r="F2">
        <v>525</v>
      </c>
      <c r="G2">
        <v>525</v>
      </c>
      <c r="H2">
        <v>525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25">
      <c r="A3">
        <v>1</v>
      </c>
      <c r="B3">
        <v>3</v>
      </c>
      <c r="C3">
        <v>7.0000000000000001E-3</v>
      </c>
      <c r="D3">
        <v>0.15</v>
      </c>
      <c r="E3">
        <v>5.1999999999999998E-2</v>
      </c>
      <c r="F3">
        <v>132</v>
      </c>
      <c r="G3">
        <v>132</v>
      </c>
      <c r="H3">
        <v>132</v>
      </c>
      <c r="I3">
        <v>1</v>
      </c>
      <c r="J3">
        <v>2</v>
      </c>
      <c r="K3">
        <v>1</v>
      </c>
      <c r="L3">
        <v>-360</v>
      </c>
      <c r="M3">
        <v>360</v>
      </c>
    </row>
    <row r="4" spans="1:13" x14ac:dyDescent="0.25">
      <c r="A4">
        <v>1</v>
      </c>
      <c r="B4">
        <v>2</v>
      </c>
      <c r="C4">
        <v>1.2200000000000001E-2</v>
      </c>
      <c r="D4">
        <v>0.02</v>
      </c>
      <c r="E4">
        <v>0.28439999999999999</v>
      </c>
      <c r="F4">
        <v>525</v>
      </c>
      <c r="G4">
        <v>525</v>
      </c>
      <c r="H4">
        <v>525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25">
      <c r="A5">
        <v>1</v>
      </c>
      <c r="B5">
        <v>3</v>
      </c>
      <c r="C5">
        <v>7.0000000000000001E-3</v>
      </c>
      <c r="D5">
        <v>0.15</v>
      </c>
      <c r="E5">
        <v>5.1999999999999998E-2</v>
      </c>
      <c r="F5">
        <v>132</v>
      </c>
      <c r="G5">
        <v>132</v>
      </c>
      <c r="H5">
        <v>132</v>
      </c>
      <c r="I5">
        <v>1</v>
      </c>
      <c r="J5">
        <v>2</v>
      </c>
      <c r="K5">
        <v>1</v>
      </c>
      <c r="L5">
        <v>-360</v>
      </c>
      <c r="M5">
        <v>360</v>
      </c>
    </row>
    <row r="6" spans="1:13" x14ac:dyDescent="0.25">
      <c r="A6">
        <v>2</v>
      </c>
      <c r="B6">
        <v>4</v>
      </c>
      <c r="C6">
        <v>4.0000000000000002E-4</v>
      </c>
      <c r="D6">
        <v>6.5000000000000002E-2</v>
      </c>
      <c r="E6">
        <v>0.44540000000000002</v>
      </c>
      <c r="F6">
        <v>760</v>
      </c>
      <c r="G6">
        <v>760</v>
      </c>
      <c r="H6">
        <v>760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25">
      <c r="A7">
        <v>2</v>
      </c>
      <c r="B7">
        <v>4</v>
      </c>
      <c r="C7">
        <v>4.0000000000000002E-4</v>
      </c>
      <c r="D7">
        <v>6.5000000000000002E-2</v>
      </c>
      <c r="E7">
        <v>0.55449999999999999</v>
      </c>
      <c r="F7">
        <v>760</v>
      </c>
      <c r="G7">
        <v>760</v>
      </c>
      <c r="H7">
        <v>760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 x14ac:dyDescent="0.25">
      <c r="A8">
        <v>4</v>
      </c>
      <c r="B8">
        <v>7</v>
      </c>
      <c r="C8">
        <v>2.1099999999999999E-3</v>
      </c>
      <c r="D8">
        <v>1.35E-2</v>
      </c>
      <c r="E8">
        <v>0.1174</v>
      </c>
      <c r="F8">
        <v>1090</v>
      </c>
      <c r="G8">
        <v>1090</v>
      </c>
      <c r="H8">
        <v>1090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 x14ac:dyDescent="0.25">
      <c r="A9">
        <v>4</v>
      </c>
      <c r="B9">
        <v>6</v>
      </c>
      <c r="C9">
        <v>1.2999999999999999E-3</v>
      </c>
      <c r="D9">
        <v>2.3E-2</v>
      </c>
      <c r="E9">
        <v>0.14960000000000001</v>
      </c>
      <c r="F9">
        <v>1500</v>
      </c>
      <c r="G9">
        <v>1500</v>
      </c>
      <c r="H9">
        <v>1500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 x14ac:dyDescent="0.25">
      <c r="A10">
        <v>4</v>
      </c>
      <c r="B10">
        <v>6</v>
      </c>
      <c r="C10">
        <v>1.2999999999999999E-3</v>
      </c>
      <c r="D10">
        <v>2.3E-2</v>
      </c>
      <c r="E10">
        <v>0.17580000000000001</v>
      </c>
      <c r="F10">
        <v>1120</v>
      </c>
      <c r="G10">
        <v>1120</v>
      </c>
      <c r="H10">
        <v>1120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 x14ac:dyDescent="0.25">
      <c r="A11">
        <v>4</v>
      </c>
      <c r="B11">
        <v>5</v>
      </c>
      <c r="C11">
        <v>1E-3</v>
      </c>
      <c r="D11">
        <v>2.4E-2</v>
      </c>
      <c r="E11">
        <v>0.125</v>
      </c>
      <c r="F11">
        <v>1000</v>
      </c>
      <c r="G11">
        <v>1000</v>
      </c>
      <c r="H11">
        <v>1000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 x14ac:dyDescent="0.25">
      <c r="A12">
        <v>4</v>
      </c>
      <c r="B12">
        <v>5</v>
      </c>
      <c r="C12">
        <v>1E-3</v>
      </c>
      <c r="D12">
        <v>2.4E-2</v>
      </c>
      <c r="E12">
        <v>0.125</v>
      </c>
      <c r="F12">
        <v>1000</v>
      </c>
      <c r="G12">
        <v>1000</v>
      </c>
      <c r="H12">
        <v>1000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 x14ac:dyDescent="0.25">
      <c r="A13">
        <v>4</v>
      </c>
      <c r="B13">
        <v>7</v>
      </c>
      <c r="C13">
        <v>2.0999999999999999E-3</v>
      </c>
      <c r="D13">
        <v>1.35E-2</v>
      </c>
      <c r="E13">
        <v>0.15379999999999999</v>
      </c>
      <c r="F13">
        <v>1090</v>
      </c>
      <c r="G13">
        <v>1090</v>
      </c>
      <c r="H13">
        <v>1090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 x14ac:dyDescent="0.25">
      <c r="A14">
        <v>5</v>
      </c>
      <c r="B14">
        <v>6</v>
      </c>
      <c r="C14">
        <v>8.4999999999999995E-4</v>
      </c>
      <c r="D14">
        <v>1.051E-2</v>
      </c>
      <c r="E14">
        <v>0.38253999999999999</v>
      </c>
      <c r="F14">
        <v>1390</v>
      </c>
      <c r="G14">
        <v>1390</v>
      </c>
      <c r="H14">
        <v>1390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 x14ac:dyDescent="0.25">
      <c r="A15">
        <v>5</v>
      </c>
      <c r="B15">
        <v>6</v>
      </c>
      <c r="C15">
        <v>1.5100000000000001E-3</v>
      </c>
      <c r="D15">
        <v>1.6129999999999999E-2</v>
      </c>
      <c r="E15">
        <v>0.59296000000000004</v>
      </c>
      <c r="F15">
        <v>1390</v>
      </c>
      <c r="G15">
        <v>1390</v>
      </c>
      <c r="H15">
        <v>1390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 x14ac:dyDescent="0.25">
      <c r="A16">
        <v>6</v>
      </c>
      <c r="B16">
        <v>9</v>
      </c>
      <c r="C16">
        <v>7.7999999999999999E-4</v>
      </c>
      <c r="D16">
        <v>8.5199999999999998E-3</v>
      </c>
      <c r="E16">
        <v>7.3700000000000002E-2</v>
      </c>
      <c r="F16">
        <v>2100</v>
      </c>
      <c r="G16">
        <v>2100</v>
      </c>
      <c r="H16">
        <v>2100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 x14ac:dyDescent="0.25">
      <c r="A17">
        <v>6</v>
      </c>
      <c r="B17">
        <v>9</v>
      </c>
      <c r="C17">
        <v>7.7999999999999999E-4</v>
      </c>
      <c r="D17">
        <v>8.5199999999999998E-3</v>
      </c>
      <c r="E17">
        <v>0.46350000000000002</v>
      </c>
      <c r="F17">
        <v>2100</v>
      </c>
      <c r="G17">
        <v>2100</v>
      </c>
      <c r="H17">
        <v>2100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 x14ac:dyDescent="0.25">
      <c r="A18">
        <v>7</v>
      </c>
      <c r="B18">
        <v>8</v>
      </c>
      <c r="C18">
        <v>4.0000000000000002E-4</v>
      </c>
      <c r="D18">
        <v>1E-4</v>
      </c>
      <c r="E18">
        <v>0.72799999999999998</v>
      </c>
      <c r="F18">
        <v>2180</v>
      </c>
      <c r="G18">
        <v>2180</v>
      </c>
      <c r="H18">
        <v>2180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 x14ac:dyDescent="0.25">
      <c r="A19">
        <v>7</v>
      </c>
      <c r="B19">
        <v>8</v>
      </c>
      <c r="C19">
        <v>4.0000000000000002E-4</v>
      </c>
      <c r="D19">
        <v>1E-4</v>
      </c>
      <c r="E19">
        <v>1.2871999999999999</v>
      </c>
      <c r="F19">
        <v>2500</v>
      </c>
      <c r="G19">
        <v>2500</v>
      </c>
      <c r="H19">
        <v>2500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 x14ac:dyDescent="0.25">
      <c r="A20">
        <v>7</v>
      </c>
      <c r="B20">
        <v>6</v>
      </c>
      <c r="C20">
        <v>3.0000000000000001E-3</v>
      </c>
      <c r="D20">
        <v>0.2</v>
      </c>
      <c r="E20">
        <v>0.29389999999999999</v>
      </c>
      <c r="F20">
        <v>950</v>
      </c>
      <c r="G20">
        <v>950</v>
      </c>
      <c r="H20">
        <v>950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 x14ac:dyDescent="0.25">
      <c r="A21">
        <v>7</v>
      </c>
      <c r="B21">
        <v>6</v>
      </c>
      <c r="C21">
        <v>3.0000000000000001E-3</v>
      </c>
      <c r="D21">
        <v>0.2</v>
      </c>
      <c r="E21">
        <v>0.29389999999999999</v>
      </c>
      <c r="F21">
        <v>950</v>
      </c>
      <c r="G21">
        <v>950</v>
      </c>
      <c r="H21">
        <v>950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 x14ac:dyDescent="0.25">
      <c r="A22">
        <v>8</v>
      </c>
      <c r="B22">
        <v>10</v>
      </c>
      <c r="C22">
        <v>8.3000000000000001E-4</v>
      </c>
      <c r="D22">
        <v>1.7500000000000002E-2</v>
      </c>
      <c r="E22">
        <v>0.66239999999999999</v>
      </c>
      <c r="F22">
        <v>3070</v>
      </c>
      <c r="G22">
        <v>3070</v>
      </c>
      <c r="H22">
        <v>3070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 x14ac:dyDescent="0.25">
      <c r="A23">
        <v>8</v>
      </c>
      <c r="B23">
        <v>10</v>
      </c>
      <c r="C23">
        <v>8.3000000000000001E-4</v>
      </c>
      <c r="D23">
        <v>1.7500000000000002E-2</v>
      </c>
      <c r="E23">
        <v>0.66239999999999999</v>
      </c>
      <c r="F23">
        <v>3070</v>
      </c>
      <c r="G23">
        <v>3070</v>
      </c>
      <c r="H23">
        <v>3070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 x14ac:dyDescent="0.25">
      <c r="A24">
        <v>9</v>
      </c>
      <c r="B24">
        <v>11</v>
      </c>
      <c r="C24">
        <v>1.64E-3</v>
      </c>
      <c r="D24">
        <v>1.6299999999999999E-2</v>
      </c>
      <c r="E24">
        <v>0.48680000000000001</v>
      </c>
      <c r="F24">
        <v>1390</v>
      </c>
      <c r="G24">
        <v>1390</v>
      </c>
      <c r="H24">
        <v>1390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 x14ac:dyDescent="0.25">
      <c r="A25">
        <v>9</v>
      </c>
      <c r="B25">
        <v>11</v>
      </c>
      <c r="C25">
        <v>1.64E-3</v>
      </c>
      <c r="D25">
        <v>1.6299999999999999E-2</v>
      </c>
      <c r="E25">
        <v>0.48680000000000001</v>
      </c>
      <c r="F25">
        <v>1390</v>
      </c>
      <c r="G25">
        <v>1390</v>
      </c>
      <c r="H25">
        <v>1390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 x14ac:dyDescent="0.25">
      <c r="A26">
        <v>9</v>
      </c>
      <c r="B26">
        <v>10</v>
      </c>
      <c r="C26">
        <v>3.5200000000000001E-3</v>
      </c>
      <c r="D26">
        <v>2.453E-2</v>
      </c>
      <c r="E26">
        <v>0.1898</v>
      </c>
      <c r="F26">
        <v>855</v>
      </c>
      <c r="G26">
        <v>855</v>
      </c>
      <c r="H26">
        <v>855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 x14ac:dyDescent="0.25">
      <c r="A27">
        <v>9</v>
      </c>
      <c r="B27">
        <v>10</v>
      </c>
      <c r="C27">
        <v>4.9199999999999999E-3</v>
      </c>
      <c r="D27">
        <v>3.4299999999999997E-2</v>
      </c>
      <c r="E27">
        <v>0.25019999999999998</v>
      </c>
      <c r="F27">
        <v>775</v>
      </c>
      <c r="G27">
        <v>775</v>
      </c>
      <c r="H27">
        <v>775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 x14ac:dyDescent="0.25">
      <c r="A28">
        <v>10</v>
      </c>
      <c r="B28">
        <v>15</v>
      </c>
      <c r="C28">
        <v>5.2999999999999998E-4</v>
      </c>
      <c r="D28">
        <v>8.3499999999999998E-3</v>
      </c>
      <c r="E28">
        <v>5.3730000000000002</v>
      </c>
      <c r="F28">
        <v>4840</v>
      </c>
      <c r="G28">
        <v>4840</v>
      </c>
      <c r="H28">
        <v>4840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 x14ac:dyDescent="0.25">
      <c r="A29">
        <v>10</v>
      </c>
      <c r="B29">
        <v>15</v>
      </c>
      <c r="C29">
        <v>5.1999999999999995E-4</v>
      </c>
      <c r="D29">
        <v>6.3E-3</v>
      </c>
      <c r="E29">
        <v>1.0636000000000001</v>
      </c>
      <c r="F29">
        <v>4020</v>
      </c>
      <c r="G29">
        <v>4020</v>
      </c>
      <c r="H29">
        <v>4020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 x14ac:dyDescent="0.25">
      <c r="A30">
        <v>11</v>
      </c>
      <c r="B30">
        <v>15</v>
      </c>
      <c r="C30">
        <v>6.9999999999999999E-4</v>
      </c>
      <c r="D30">
        <v>4.2000000000000003E-2</v>
      </c>
      <c r="E30">
        <v>0.39069999999999999</v>
      </c>
      <c r="F30">
        <v>2520</v>
      </c>
      <c r="G30">
        <v>2520</v>
      </c>
      <c r="H30">
        <v>2520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 x14ac:dyDescent="0.25">
      <c r="A31">
        <v>11</v>
      </c>
      <c r="B31">
        <v>15</v>
      </c>
      <c r="C31">
        <v>9.8999999999999999E-4</v>
      </c>
      <c r="D31">
        <v>4.2000000000000003E-2</v>
      </c>
      <c r="E31">
        <v>0.57379999999999998</v>
      </c>
      <c r="F31">
        <v>2520</v>
      </c>
      <c r="G31">
        <v>2520</v>
      </c>
      <c r="H31">
        <v>2520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 x14ac:dyDescent="0.25">
      <c r="A32">
        <v>11</v>
      </c>
      <c r="B32">
        <v>13</v>
      </c>
      <c r="C32">
        <v>4.0000000000000002E-4</v>
      </c>
      <c r="D32">
        <v>5.1999999999999998E-3</v>
      </c>
      <c r="E32">
        <v>0.24979999999999999</v>
      </c>
      <c r="F32">
        <v>2170</v>
      </c>
      <c r="G32">
        <v>2170</v>
      </c>
      <c r="H32">
        <v>2170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 x14ac:dyDescent="0.25">
      <c r="A33">
        <v>11</v>
      </c>
      <c r="B33">
        <v>13</v>
      </c>
      <c r="C33">
        <v>4.0000000000000002E-4</v>
      </c>
      <c r="D33">
        <v>5.1999999999999998E-3</v>
      </c>
      <c r="E33">
        <v>0.26640000000000003</v>
      </c>
      <c r="F33">
        <v>2210</v>
      </c>
      <c r="G33">
        <v>2210</v>
      </c>
      <c r="H33">
        <v>2210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 x14ac:dyDescent="0.25">
      <c r="A34">
        <v>11</v>
      </c>
      <c r="B34">
        <v>12</v>
      </c>
      <c r="C34">
        <v>1E-4</v>
      </c>
      <c r="D34">
        <v>8.5000000000000006E-3</v>
      </c>
      <c r="E34">
        <v>7.9799999999999996E-2</v>
      </c>
      <c r="F34">
        <v>3320</v>
      </c>
      <c r="G34">
        <v>3320</v>
      </c>
      <c r="H34">
        <v>3320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 x14ac:dyDescent="0.25">
      <c r="A35">
        <v>11</v>
      </c>
      <c r="B35">
        <v>12</v>
      </c>
      <c r="C35">
        <v>1E-4</v>
      </c>
      <c r="D35">
        <v>8.5000000000000006E-3</v>
      </c>
      <c r="E35">
        <v>7.9799999999999996E-2</v>
      </c>
      <c r="F35">
        <v>3320</v>
      </c>
      <c r="G35">
        <v>3320</v>
      </c>
      <c r="H35">
        <v>3320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 x14ac:dyDescent="0.25">
      <c r="A36">
        <v>12</v>
      </c>
      <c r="B36">
        <v>13</v>
      </c>
      <c r="C36">
        <v>9.6000000000000002E-4</v>
      </c>
      <c r="D36">
        <v>1.078E-2</v>
      </c>
      <c r="E36">
        <v>0.38500000000000001</v>
      </c>
      <c r="F36">
        <v>3100</v>
      </c>
      <c r="G36">
        <v>3100</v>
      </c>
      <c r="H36">
        <v>3100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 x14ac:dyDescent="0.25">
      <c r="A37">
        <v>12</v>
      </c>
      <c r="B37">
        <v>18</v>
      </c>
      <c r="C37">
        <v>7.3999999999999999E-4</v>
      </c>
      <c r="D37">
        <v>8.9999999999999993E-3</v>
      </c>
      <c r="E37">
        <v>0.29110000000000003</v>
      </c>
      <c r="F37">
        <v>2400</v>
      </c>
      <c r="G37">
        <v>2400</v>
      </c>
      <c r="H37">
        <v>2400</v>
      </c>
      <c r="I37">
        <v>1</v>
      </c>
      <c r="J37">
        <v>2</v>
      </c>
      <c r="K37">
        <v>1</v>
      </c>
      <c r="L37">
        <v>-360</v>
      </c>
      <c r="M37">
        <v>360</v>
      </c>
    </row>
    <row r="38" spans="1:13" x14ac:dyDescent="0.25">
      <c r="A38">
        <v>12</v>
      </c>
      <c r="B38">
        <v>18</v>
      </c>
      <c r="C38">
        <v>9.7000000000000005E-4</v>
      </c>
      <c r="D38">
        <v>8.9999999999999993E-3</v>
      </c>
      <c r="E38">
        <v>0.38350000000000001</v>
      </c>
      <c r="F38">
        <v>2400</v>
      </c>
      <c r="G38">
        <v>2400</v>
      </c>
      <c r="H38">
        <v>2400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 x14ac:dyDescent="0.25">
      <c r="A39">
        <v>12</v>
      </c>
      <c r="B39">
        <v>13</v>
      </c>
      <c r="C39">
        <v>9.6000000000000002E-4</v>
      </c>
      <c r="D39">
        <v>1.078E-2</v>
      </c>
      <c r="E39">
        <v>0.38500000000000001</v>
      </c>
      <c r="F39">
        <v>3100</v>
      </c>
      <c r="G39">
        <v>3100</v>
      </c>
      <c r="H39">
        <v>3100</v>
      </c>
      <c r="I39">
        <v>1</v>
      </c>
      <c r="J39">
        <v>2</v>
      </c>
      <c r="K39">
        <v>1</v>
      </c>
      <c r="L39">
        <v>-360</v>
      </c>
      <c r="M39">
        <v>360</v>
      </c>
    </row>
    <row r="40" spans="1:13" x14ac:dyDescent="0.25">
      <c r="A40">
        <v>13</v>
      </c>
      <c r="B40">
        <v>18</v>
      </c>
      <c r="C40">
        <v>4.8999999999999998E-4</v>
      </c>
      <c r="D40">
        <v>7.0000000000000001E-3</v>
      </c>
      <c r="E40">
        <v>0.1943</v>
      </c>
      <c r="F40">
        <v>2400</v>
      </c>
      <c r="G40">
        <v>2400</v>
      </c>
      <c r="H40">
        <v>2400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 x14ac:dyDescent="0.25">
      <c r="A41">
        <v>13</v>
      </c>
      <c r="B41">
        <v>18</v>
      </c>
      <c r="C41">
        <v>8.4000000000000003E-4</v>
      </c>
      <c r="D41">
        <v>7.0000000000000001E-3</v>
      </c>
      <c r="E41">
        <v>0.77590000000000003</v>
      </c>
      <c r="F41">
        <v>2400</v>
      </c>
      <c r="G41">
        <v>2400</v>
      </c>
      <c r="H41">
        <v>2400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 x14ac:dyDescent="0.25">
      <c r="A42">
        <v>13</v>
      </c>
      <c r="B42">
        <v>15</v>
      </c>
      <c r="C42">
        <v>1.3699999999999999E-3</v>
      </c>
      <c r="D42">
        <v>2.3E-2</v>
      </c>
      <c r="E42">
        <v>0.6643</v>
      </c>
      <c r="F42">
        <v>1240</v>
      </c>
      <c r="G42">
        <v>1240</v>
      </c>
      <c r="H42">
        <v>1240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 x14ac:dyDescent="0.25">
      <c r="A43">
        <v>13</v>
      </c>
      <c r="B43">
        <v>15</v>
      </c>
      <c r="C43">
        <v>1.64E-3</v>
      </c>
      <c r="D43">
        <v>2.3E-2</v>
      </c>
      <c r="E43">
        <v>0.1104</v>
      </c>
      <c r="F43">
        <v>955</v>
      </c>
      <c r="G43">
        <v>955</v>
      </c>
      <c r="H43">
        <v>955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 x14ac:dyDescent="0.25">
      <c r="A44">
        <v>13</v>
      </c>
      <c r="B44">
        <v>14</v>
      </c>
      <c r="C44">
        <v>1.07E-3</v>
      </c>
      <c r="D44">
        <v>1.163E-2</v>
      </c>
      <c r="E44">
        <v>1.1745000000000001</v>
      </c>
      <c r="F44">
        <v>1040</v>
      </c>
      <c r="G44">
        <v>1040</v>
      </c>
      <c r="H44">
        <v>1040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 x14ac:dyDescent="0.25">
      <c r="A45">
        <v>13</v>
      </c>
      <c r="B45">
        <v>14</v>
      </c>
      <c r="C45">
        <v>8.1999999999999998E-4</v>
      </c>
      <c r="D45">
        <v>1.201E-2</v>
      </c>
      <c r="E45">
        <v>1.2124999999999999</v>
      </c>
      <c r="F45">
        <v>1040</v>
      </c>
      <c r="G45">
        <v>1040</v>
      </c>
      <c r="H45">
        <v>1040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 x14ac:dyDescent="0.25">
      <c r="A46">
        <v>14</v>
      </c>
      <c r="B46">
        <v>16</v>
      </c>
      <c r="C46">
        <v>5.0000000000000001E-4</v>
      </c>
      <c r="D46">
        <v>1.6E-2</v>
      </c>
      <c r="E46">
        <v>0.27950000000000003</v>
      </c>
      <c r="F46">
        <v>2580</v>
      </c>
      <c r="G46">
        <v>2580</v>
      </c>
      <c r="H46">
        <v>2580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 x14ac:dyDescent="0.25">
      <c r="A47">
        <v>14</v>
      </c>
      <c r="B47">
        <v>16</v>
      </c>
      <c r="C47">
        <v>5.0000000000000001E-3</v>
      </c>
      <c r="D47">
        <v>1.7999999999999999E-2</v>
      </c>
      <c r="E47">
        <v>0.14660000000000001</v>
      </c>
      <c r="F47">
        <v>625</v>
      </c>
      <c r="G47">
        <v>625</v>
      </c>
      <c r="H47">
        <v>625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 x14ac:dyDescent="0.25">
      <c r="A48">
        <v>15</v>
      </c>
      <c r="B48">
        <v>16</v>
      </c>
      <c r="C48">
        <v>3.3E-4</v>
      </c>
      <c r="D48">
        <v>5.1999999999999998E-3</v>
      </c>
      <c r="E48">
        <v>0.35339999999999999</v>
      </c>
      <c r="F48">
        <v>2770</v>
      </c>
      <c r="G48">
        <v>2770</v>
      </c>
      <c r="H48">
        <v>2770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 x14ac:dyDescent="0.25">
      <c r="A49">
        <v>15</v>
      </c>
      <c r="B49">
        <v>16</v>
      </c>
      <c r="C49">
        <v>1.6000000000000001E-4</v>
      </c>
      <c r="D49">
        <v>1.72E-3</v>
      </c>
      <c r="E49">
        <v>0.3992</v>
      </c>
      <c r="F49">
        <v>5540</v>
      </c>
      <c r="G49">
        <v>5540</v>
      </c>
      <c r="H49">
        <v>5540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 x14ac:dyDescent="0.25">
      <c r="A50">
        <v>15</v>
      </c>
      <c r="B50">
        <v>14</v>
      </c>
      <c r="C50">
        <v>1.9000000000000001E-4</v>
      </c>
      <c r="D50">
        <v>2.2200000000000002E-3</v>
      </c>
      <c r="E50">
        <v>0.75919999999999999</v>
      </c>
      <c r="F50">
        <v>5000</v>
      </c>
      <c r="G50">
        <v>5000</v>
      </c>
      <c r="H50">
        <v>5000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 x14ac:dyDescent="0.25">
      <c r="A51">
        <v>15</v>
      </c>
      <c r="B51">
        <v>14</v>
      </c>
      <c r="C51">
        <v>1.8000000000000001E-4</v>
      </c>
      <c r="D51">
        <v>2.2200000000000002E-3</v>
      </c>
      <c r="E51">
        <v>0.55730000000000002</v>
      </c>
      <c r="F51">
        <v>5000</v>
      </c>
      <c r="G51">
        <v>5000</v>
      </c>
      <c r="H51">
        <v>5000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 x14ac:dyDescent="0.25">
      <c r="A52">
        <v>16</v>
      </c>
      <c r="B52">
        <v>19</v>
      </c>
      <c r="C52">
        <v>5.5999999999999995E-4</v>
      </c>
      <c r="D52">
        <v>1.41E-2</v>
      </c>
      <c r="E52">
        <v>0.4496</v>
      </c>
      <c r="F52">
        <v>2780</v>
      </c>
      <c r="G52">
        <v>2780</v>
      </c>
      <c r="H52">
        <v>2780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 x14ac:dyDescent="0.25">
      <c r="A53">
        <v>16</v>
      </c>
      <c r="B53">
        <v>19</v>
      </c>
      <c r="C53">
        <v>5.5999999999999995E-4</v>
      </c>
      <c r="D53">
        <v>1.41E-2</v>
      </c>
      <c r="E53">
        <v>0.4496</v>
      </c>
      <c r="F53">
        <v>3820</v>
      </c>
      <c r="G53">
        <v>3820</v>
      </c>
      <c r="H53">
        <v>3820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 x14ac:dyDescent="0.25">
      <c r="A54">
        <v>17</v>
      </c>
      <c r="B54">
        <v>16</v>
      </c>
      <c r="C54">
        <v>1E-3</v>
      </c>
      <c r="D54">
        <v>1.072E-2</v>
      </c>
      <c r="E54">
        <v>0.2651</v>
      </c>
      <c r="F54">
        <v>2150</v>
      </c>
      <c r="G54">
        <v>2150</v>
      </c>
      <c r="H54">
        <v>2150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 x14ac:dyDescent="0.25">
      <c r="A55">
        <v>17</v>
      </c>
      <c r="B55">
        <v>16</v>
      </c>
      <c r="C55">
        <v>1E-3</v>
      </c>
      <c r="D55">
        <v>1.072E-2</v>
      </c>
      <c r="E55">
        <v>0.45729999999999998</v>
      </c>
      <c r="F55">
        <v>1890</v>
      </c>
      <c r="G55">
        <v>1890</v>
      </c>
      <c r="H55">
        <v>1890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 x14ac:dyDescent="0.25">
      <c r="A56">
        <v>17</v>
      </c>
      <c r="B56">
        <v>22</v>
      </c>
      <c r="C56">
        <v>6.8000000000000005E-4</v>
      </c>
      <c r="D56">
        <v>9.7000000000000003E-3</v>
      </c>
      <c r="E56">
        <v>0.45660000000000001</v>
      </c>
      <c r="F56">
        <v>2100</v>
      </c>
      <c r="G56">
        <v>2100</v>
      </c>
      <c r="H56">
        <v>2100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 x14ac:dyDescent="0.25">
      <c r="A57">
        <v>17</v>
      </c>
      <c r="B57">
        <v>22</v>
      </c>
      <c r="C57">
        <v>6.8999999999999997E-4</v>
      </c>
      <c r="D57">
        <v>9.7000000000000003E-3</v>
      </c>
      <c r="E57">
        <v>0.45739999999999997</v>
      </c>
      <c r="F57">
        <v>2100</v>
      </c>
      <c r="G57">
        <v>2100</v>
      </c>
      <c r="H57">
        <v>2100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 x14ac:dyDescent="0.25">
      <c r="A58">
        <v>18</v>
      </c>
      <c r="B58">
        <v>17</v>
      </c>
      <c r="C58">
        <v>4.2000000000000002E-4</v>
      </c>
      <c r="D58">
        <v>1.8E-3</v>
      </c>
      <c r="E58">
        <v>0.2349</v>
      </c>
      <c r="F58">
        <v>3100</v>
      </c>
      <c r="G58">
        <v>3100</v>
      </c>
      <c r="H58">
        <v>3100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 x14ac:dyDescent="0.25">
      <c r="A59">
        <v>18</v>
      </c>
      <c r="B59">
        <v>17</v>
      </c>
      <c r="C59">
        <v>4.2000000000000002E-4</v>
      </c>
      <c r="D59">
        <v>1.8E-3</v>
      </c>
      <c r="E59">
        <v>0.2349</v>
      </c>
      <c r="F59">
        <v>3460</v>
      </c>
      <c r="G59">
        <v>3460</v>
      </c>
      <c r="H59">
        <v>3460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 x14ac:dyDescent="0.25">
      <c r="A60">
        <v>18</v>
      </c>
      <c r="B60">
        <v>23</v>
      </c>
      <c r="C60">
        <v>1.3799999999999999E-3</v>
      </c>
      <c r="D60">
        <v>9.5999999999999992E-3</v>
      </c>
      <c r="E60">
        <v>0.4829</v>
      </c>
      <c r="F60">
        <v>1970</v>
      </c>
      <c r="G60">
        <v>1970</v>
      </c>
      <c r="H60">
        <v>1970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 x14ac:dyDescent="0.25">
      <c r="A61">
        <v>18</v>
      </c>
      <c r="B61">
        <v>23</v>
      </c>
      <c r="C61">
        <v>1.17E-3</v>
      </c>
      <c r="D61">
        <v>9.5999999999999992E-3</v>
      </c>
      <c r="E61">
        <v>0.41220000000000001</v>
      </c>
      <c r="F61">
        <v>1970</v>
      </c>
      <c r="G61">
        <v>1970</v>
      </c>
      <c r="H61">
        <v>1970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 x14ac:dyDescent="0.25">
      <c r="A62">
        <v>20</v>
      </c>
      <c r="B62">
        <v>26</v>
      </c>
      <c r="C62">
        <v>3.5E-4</v>
      </c>
      <c r="D62">
        <v>2.3E-3</v>
      </c>
      <c r="E62">
        <v>0.22489999999999999</v>
      </c>
      <c r="F62">
        <v>2780</v>
      </c>
      <c r="G62">
        <v>2780</v>
      </c>
      <c r="H62">
        <v>2780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 x14ac:dyDescent="0.25">
      <c r="A63">
        <v>20</v>
      </c>
      <c r="B63">
        <v>26</v>
      </c>
      <c r="C63">
        <v>3.5E-4</v>
      </c>
      <c r="D63">
        <v>2.3E-3</v>
      </c>
      <c r="E63">
        <v>0.22489999999999999</v>
      </c>
      <c r="F63">
        <v>2780</v>
      </c>
      <c r="G63">
        <v>2780</v>
      </c>
      <c r="H63">
        <v>2780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 x14ac:dyDescent="0.25">
      <c r="A64">
        <v>20</v>
      </c>
      <c r="B64">
        <v>19</v>
      </c>
      <c r="C64">
        <v>1.7799999999999999E-3</v>
      </c>
      <c r="D64">
        <v>2.1299999999999999E-2</v>
      </c>
      <c r="E64">
        <v>0.66820000000000002</v>
      </c>
      <c r="F64">
        <v>1590</v>
      </c>
      <c r="G64">
        <v>1590</v>
      </c>
      <c r="H64">
        <v>1590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 x14ac:dyDescent="0.25">
      <c r="A65">
        <v>20</v>
      </c>
      <c r="B65">
        <v>19</v>
      </c>
      <c r="C65">
        <v>1.32E-3</v>
      </c>
      <c r="D65">
        <v>1.43E-2</v>
      </c>
      <c r="E65">
        <v>0.36559999999999998</v>
      </c>
      <c r="F65">
        <v>1590</v>
      </c>
      <c r="G65">
        <v>1590</v>
      </c>
      <c r="H65">
        <v>1590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 x14ac:dyDescent="0.25">
      <c r="A66">
        <v>21</v>
      </c>
      <c r="B66">
        <v>16</v>
      </c>
      <c r="C66">
        <v>1.4499999999999999E-3</v>
      </c>
      <c r="D66">
        <v>1.8239999999999999E-2</v>
      </c>
      <c r="E66">
        <v>0.91690000000000005</v>
      </c>
      <c r="F66">
        <v>2780</v>
      </c>
      <c r="G66">
        <v>2780</v>
      </c>
      <c r="H66">
        <v>2780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 x14ac:dyDescent="0.25">
      <c r="A67">
        <v>21</v>
      </c>
      <c r="B67">
        <v>16</v>
      </c>
      <c r="C67">
        <v>1.4499999999999999E-3</v>
      </c>
      <c r="D67">
        <v>1.8239999999999999E-2</v>
      </c>
      <c r="E67">
        <v>0.91690000000000005</v>
      </c>
      <c r="F67">
        <v>2780</v>
      </c>
      <c r="G67">
        <v>2780</v>
      </c>
      <c r="H67">
        <v>2780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 x14ac:dyDescent="0.25">
      <c r="A68">
        <v>21</v>
      </c>
      <c r="B68">
        <v>25</v>
      </c>
      <c r="C68">
        <v>2.5000000000000001E-4</v>
      </c>
      <c r="D68">
        <v>0.01</v>
      </c>
      <c r="E68">
        <v>0.15859999999999999</v>
      </c>
      <c r="F68">
        <v>2780</v>
      </c>
      <c r="G68">
        <v>2780</v>
      </c>
      <c r="H68">
        <v>2780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 x14ac:dyDescent="0.25">
      <c r="A69">
        <v>21</v>
      </c>
      <c r="B69">
        <v>25</v>
      </c>
      <c r="C69">
        <v>2.5000000000000001E-4</v>
      </c>
      <c r="D69">
        <v>0.01</v>
      </c>
      <c r="E69">
        <v>0.15859999999999999</v>
      </c>
      <c r="F69">
        <v>2780</v>
      </c>
      <c r="G69">
        <v>2780</v>
      </c>
      <c r="H69">
        <v>2780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 x14ac:dyDescent="0.25">
      <c r="A70">
        <v>21</v>
      </c>
      <c r="B70">
        <v>20</v>
      </c>
      <c r="C70">
        <v>1.1999999999999999E-3</v>
      </c>
      <c r="D70">
        <v>4.7999999999999996E-3</v>
      </c>
      <c r="E70">
        <v>0.4446</v>
      </c>
      <c r="F70">
        <v>2780</v>
      </c>
      <c r="G70">
        <v>2780</v>
      </c>
      <c r="H70">
        <v>2780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 x14ac:dyDescent="0.25">
      <c r="A71">
        <v>21</v>
      </c>
      <c r="B71">
        <v>20</v>
      </c>
      <c r="C71">
        <v>1.1999999999999999E-3</v>
      </c>
      <c r="D71">
        <v>4.7999999999999996E-3</v>
      </c>
      <c r="E71">
        <v>0.7</v>
      </c>
      <c r="F71">
        <v>2780</v>
      </c>
      <c r="G71">
        <v>2780</v>
      </c>
      <c r="H71">
        <v>2780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 x14ac:dyDescent="0.25">
      <c r="A72">
        <v>21</v>
      </c>
      <c r="B72">
        <v>19</v>
      </c>
      <c r="C72">
        <v>3.6999999999999999E-4</v>
      </c>
      <c r="D72">
        <v>5.8999999999999999E-3</v>
      </c>
      <c r="E72">
        <v>0.29399999999999998</v>
      </c>
      <c r="F72">
        <v>3030</v>
      </c>
      <c r="G72">
        <v>3030</v>
      </c>
      <c r="H72">
        <v>3030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 x14ac:dyDescent="0.25">
      <c r="A73">
        <v>21</v>
      </c>
      <c r="B73">
        <v>19</v>
      </c>
      <c r="C73">
        <v>3.6999999999999999E-4</v>
      </c>
      <c r="D73">
        <v>5.8999999999999999E-3</v>
      </c>
      <c r="E73">
        <v>0.29549999999999998</v>
      </c>
      <c r="F73">
        <v>2780</v>
      </c>
      <c r="G73">
        <v>2780</v>
      </c>
      <c r="H73">
        <v>2780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 x14ac:dyDescent="0.25">
      <c r="A74">
        <v>22</v>
      </c>
      <c r="B74">
        <v>16</v>
      </c>
      <c r="C74">
        <v>1.7799999999999999E-3</v>
      </c>
      <c r="D74">
        <v>1.72E-2</v>
      </c>
      <c r="E74">
        <v>0.84030000000000005</v>
      </c>
      <c r="F74">
        <v>2010</v>
      </c>
      <c r="G74">
        <v>2010</v>
      </c>
      <c r="H74">
        <v>2010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 x14ac:dyDescent="0.25">
      <c r="A75">
        <v>22</v>
      </c>
      <c r="B75">
        <v>16</v>
      </c>
      <c r="C75">
        <v>1.7799999999999999E-3</v>
      </c>
      <c r="D75">
        <v>1.72E-2</v>
      </c>
      <c r="E75">
        <v>0.627</v>
      </c>
      <c r="F75">
        <v>2010</v>
      </c>
      <c r="G75">
        <v>2010</v>
      </c>
      <c r="H75">
        <v>2010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 x14ac:dyDescent="0.25">
      <c r="A76">
        <v>22</v>
      </c>
      <c r="B76">
        <v>25</v>
      </c>
      <c r="C76">
        <v>3.6999999999999999E-4</v>
      </c>
      <c r="D76">
        <v>4.1000000000000003E-3</v>
      </c>
      <c r="E76">
        <v>0.4098</v>
      </c>
      <c r="F76">
        <v>3275</v>
      </c>
      <c r="G76">
        <v>3275</v>
      </c>
      <c r="H76">
        <v>3275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 x14ac:dyDescent="0.25">
      <c r="A77">
        <v>22</v>
      </c>
      <c r="B77">
        <v>25</v>
      </c>
      <c r="C77">
        <v>3.4000000000000002E-4</v>
      </c>
      <c r="D77">
        <v>4.1000000000000003E-3</v>
      </c>
      <c r="E77">
        <v>0.42899999999999999</v>
      </c>
      <c r="F77">
        <v>3275</v>
      </c>
      <c r="G77">
        <v>3275</v>
      </c>
      <c r="H77">
        <v>3275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 x14ac:dyDescent="0.25">
      <c r="A78">
        <v>22</v>
      </c>
      <c r="B78">
        <v>21</v>
      </c>
      <c r="C78">
        <v>1.9000000000000001E-4</v>
      </c>
      <c r="D78">
        <v>1.1100000000000001E-3</v>
      </c>
      <c r="E78">
        <v>0.1232</v>
      </c>
      <c r="F78">
        <v>2780</v>
      </c>
      <c r="G78">
        <v>2780</v>
      </c>
      <c r="H78">
        <v>2780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 x14ac:dyDescent="0.25">
      <c r="A79">
        <v>22</v>
      </c>
      <c r="B79">
        <v>21</v>
      </c>
      <c r="C79">
        <v>4.8000000000000001E-4</v>
      </c>
      <c r="D79">
        <v>6.1000000000000004E-3</v>
      </c>
      <c r="E79">
        <v>0.30409999999999998</v>
      </c>
      <c r="F79">
        <v>2780</v>
      </c>
      <c r="G79">
        <v>2780</v>
      </c>
      <c r="H79">
        <v>2780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 x14ac:dyDescent="0.25">
      <c r="A80">
        <v>23</v>
      </c>
      <c r="B80">
        <v>29</v>
      </c>
      <c r="C80">
        <v>1.5100000000000001E-3</v>
      </c>
      <c r="D80">
        <v>1.8200000000000001E-2</v>
      </c>
      <c r="E80">
        <v>0.53</v>
      </c>
      <c r="F80">
        <v>2010</v>
      </c>
      <c r="G80">
        <v>2010</v>
      </c>
      <c r="H80">
        <v>2010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 x14ac:dyDescent="0.25">
      <c r="A81">
        <v>23</v>
      </c>
      <c r="B81">
        <v>24</v>
      </c>
      <c r="C81">
        <v>8.5999999999999998E-4</v>
      </c>
      <c r="D81">
        <v>8.0000000000000004E-4</v>
      </c>
      <c r="E81">
        <v>0.96220000000000006</v>
      </c>
      <c r="F81">
        <v>2780</v>
      </c>
      <c r="G81">
        <v>2780</v>
      </c>
      <c r="H81">
        <v>2780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 x14ac:dyDescent="0.25">
      <c r="A82">
        <v>23</v>
      </c>
      <c r="B82">
        <v>24</v>
      </c>
      <c r="C82">
        <v>2.3000000000000001E-4</v>
      </c>
      <c r="D82">
        <v>6.9999999999999999E-4</v>
      </c>
      <c r="E82">
        <v>2.8447</v>
      </c>
      <c r="F82">
        <v>4400</v>
      </c>
      <c r="G82">
        <v>4400</v>
      </c>
      <c r="H82">
        <v>4400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 x14ac:dyDescent="0.25">
      <c r="A83">
        <v>23</v>
      </c>
      <c r="B83">
        <v>22</v>
      </c>
      <c r="C83">
        <v>5.5000000000000003E-4</v>
      </c>
      <c r="D83">
        <v>3.0000000000000001E-3</v>
      </c>
      <c r="E83">
        <v>0.3468</v>
      </c>
      <c r="F83">
        <v>2780</v>
      </c>
      <c r="G83">
        <v>2780</v>
      </c>
      <c r="H83">
        <v>2780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 x14ac:dyDescent="0.25">
      <c r="A84">
        <v>23</v>
      </c>
      <c r="B84">
        <v>22</v>
      </c>
      <c r="C84">
        <v>3.8999999999999999E-4</v>
      </c>
      <c r="D84">
        <v>3.0000000000000001E-3</v>
      </c>
      <c r="E84">
        <v>0.24660000000000001</v>
      </c>
      <c r="F84">
        <v>2770</v>
      </c>
      <c r="G84">
        <v>2770</v>
      </c>
      <c r="H84">
        <v>2770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 x14ac:dyDescent="0.25">
      <c r="A85">
        <v>23</v>
      </c>
      <c r="B85">
        <v>29</v>
      </c>
      <c r="C85">
        <v>1.5100000000000001E-3</v>
      </c>
      <c r="D85">
        <v>1.8200000000000001E-2</v>
      </c>
      <c r="E85">
        <v>0.53</v>
      </c>
      <c r="F85">
        <v>2010</v>
      </c>
      <c r="G85">
        <v>2010</v>
      </c>
      <c r="H85">
        <v>2010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 x14ac:dyDescent="0.25">
      <c r="A86">
        <v>24</v>
      </c>
      <c r="B86">
        <v>28</v>
      </c>
      <c r="C86">
        <v>6.8000000000000005E-4</v>
      </c>
      <c r="D86">
        <v>7.0000000000000001E-3</v>
      </c>
      <c r="E86">
        <v>0.23880000000000001</v>
      </c>
      <c r="F86">
        <v>2210</v>
      </c>
      <c r="G86">
        <v>2210</v>
      </c>
      <c r="H86">
        <v>2210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 x14ac:dyDescent="0.25">
      <c r="A87">
        <v>24</v>
      </c>
      <c r="B87">
        <v>25</v>
      </c>
      <c r="C87">
        <v>1.0399999999999999E-3</v>
      </c>
      <c r="D87">
        <v>9.1000000000000004E-3</v>
      </c>
      <c r="E87">
        <v>0.2918</v>
      </c>
      <c r="F87">
        <v>1390</v>
      </c>
      <c r="G87">
        <v>1390</v>
      </c>
      <c r="H87">
        <v>1390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 x14ac:dyDescent="0.25">
      <c r="A88">
        <v>24</v>
      </c>
      <c r="B88">
        <v>25</v>
      </c>
      <c r="C88">
        <v>1.0399999999999999E-3</v>
      </c>
      <c r="D88">
        <v>9.1000000000000004E-3</v>
      </c>
      <c r="E88">
        <v>0.2918</v>
      </c>
      <c r="F88">
        <v>1390</v>
      </c>
      <c r="G88">
        <v>1390</v>
      </c>
      <c r="H88">
        <v>1390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 x14ac:dyDescent="0.25">
      <c r="A89">
        <v>24</v>
      </c>
      <c r="B89">
        <v>28</v>
      </c>
      <c r="C89">
        <v>6.8000000000000005E-4</v>
      </c>
      <c r="D89">
        <v>7.0000000000000001E-3</v>
      </c>
      <c r="E89">
        <v>0.23880000000000001</v>
      </c>
      <c r="F89">
        <v>2210</v>
      </c>
      <c r="G89">
        <v>2210</v>
      </c>
      <c r="H89">
        <v>2210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 x14ac:dyDescent="0.25">
      <c r="A90">
        <v>25</v>
      </c>
      <c r="B90">
        <v>26</v>
      </c>
      <c r="C90">
        <v>2.0000000000000001E-4</v>
      </c>
      <c r="D90">
        <v>5.7000000000000002E-3</v>
      </c>
      <c r="E90">
        <v>0.53200000000000003</v>
      </c>
      <c r="F90">
        <v>6960</v>
      </c>
      <c r="G90">
        <v>6960</v>
      </c>
      <c r="H90">
        <v>6960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 x14ac:dyDescent="0.25">
      <c r="A91">
        <v>25</v>
      </c>
      <c r="B91">
        <v>26</v>
      </c>
      <c r="C91">
        <v>2.0000000000000001E-4</v>
      </c>
      <c r="D91">
        <v>5.7000000000000002E-3</v>
      </c>
      <c r="E91">
        <v>0.53200000000000003</v>
      </c>
      <c r="F91">
        <v>5540</v>
      </c>
      <c r="G91">
        <v>5540</v>
      </c>
      <c r="H91">
        <v>5540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 x14ac:dyDescent="0.25">
      <c r="A92">
        <v>27</v>
      </c>
      <c r="B92">
        <v>26</v>
      </c>
      <c r="C92">
        <v>2.0000000000000001E-4</v>
      </c>
      <c r="D92">
        <v>5.0299999999999997E-3</v>
      </c>
      <c r="E92">
        <v>0.1797</v>
      </c>
      <c r="F92">
        <v>3100</v>
      </c>
      <c r="G92">
        <v>3100</v>
      </c>
      <c r="H92">
        <v>3100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 x14ac:dyDescent="0.25">
      <c r="A93">
        <v>27</v>
      </c>
      <c r="B93">
        <v>26</v>
      </c>
      <c r="C93">
        <v>2.0000000000000001E-4</v>
      </c>
      <c r="D93">
        <v>5.0299999999999997E-3</v>
      </c>
      <c r="E93">
        <v>0.1797</v>
      </c>
      <c r="F93">
        <v>3100</v>
      </c>
      <c r="G93">
        <v>3100</v>
      </c>
      <c r="H93">
        <v>3100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 x14ac:dyDescent="0.25">
      <c r="A94">
        <v>28</v>
      </c>
      <c r="B94">
        <v>27</v>
      </c>
      <c r="C94">
        <v>3.8000000000000002E-4</v>
      </c>
      <c r="D94">
        <v>7.11E-3</v>
      </c>
      <c r="E94">
        <v>0.29980000000000001</v>
      </c>
      <c r="F94">
        <v>3070</v>
      </c>
      <c r="G94">
        <v>3070</v>
      </c>
      <c r="H94">
        <v>3070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 x14ac:dyDescent="0.25">
      <c r="A95">
        <v>28</v>
      </c>
      <c r="B95">
        <v>27</v>
      </c>
      <c r="C95">
        <v>3.8000000000000002E-4</v>
      </c>
      <c r="D95">
        <v>7.11E-3</v>
      </c>
      <c r="E95">
        <v>0.29980000000000001</v>
      </c>
      <c r="F95">
        <v>3070</v>
      </c>
      <c r="G95">
        <v>3070</v>
      </c>
      <c r="H95">
        <v>3070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 x14ac:dyDescent="0.25">
      <c r="A96">
        <v>29</v>
      </c>
      <c r="B96">
        <v>28</v>
      </c>
      <c r="C96">
        <v>5.1000000000000004E-4</v>
      </c>
      <c r="D96">
        <v>7.9600000000000001E-3</v>
      </c>
      <c r="E96">
        <v>0.34</v>
      </c>
      <c r="F96">
        <v>2780</v>
      </c>
      <c r="G96">
        <v>2780</v>
      </c>
      <c r="H96">
        <v>2780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 x14ac:dyDescent="0.25">
      <c r="A97">
        <v>29</v>
      </c>
      <c r="B97">
        <v>28</v>
      </c>
      <c r="C97">
        <v>5.1000000000000004E-4</v>
      </c>
      <c r="D97">
        <v>7.9600000000000001E-3</v>
      </c>
      <c r="E97">
        <v>0.34</v>
      </c>
      <c r="F97">
        <v>2780</v>
      </c>
      <c r="G97">
        <v>2780</v>
      </c>
      <c r="H97">
        <v>2780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 x14ac:dyDescent="0.25">
      <c r="A98">
        <v>3</v>
      </c>
      <c r="B98">
        <v>4</v>
      </c>
      <c r="C98">
        <v>3.0000000000000001E-3</v>
      </c>
      <c r="D98">
        <v>4.1000000000000002E-2</v>
      </c>
      <c r="E98">
        <v>4.4000000000000003E-3</v>
      </c>
      <c r="F98">
        <v>648</v>
      </c>
      <c r="G98">
        <v>648</v>
      </c>
      <c r="H98">
        <v>648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 x14ac:dyDescent="0.25">
      <c r="A99">
        <v>3</v>
      </c>
      <c r="B99">
        <v>4</v>
      </c>
      <c r="C99">
        <v>3.0000000000000001E-3</v>
      </c>
      <c r="D99">
        <v>4.1000000000000002E-2</v>
      </c>
      <c r="E99">
        <v>4.3999999999999997E-2</v>
      </c>
      <c r="F99">
        <v>648</v>
      </c>
      <c r="G99">
        <v>648</v>
      </c>
      <c r="H99">
        <v>648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 x14ac:dyDescent="0.25">
      <c r="A100">
        <v>3</v>
      </c>
      <c r="B100">
        <v>2</v>
      </c>
      <c r="C100">
        <v>3.0040000000000001E-2</v>
      </c>
      <c r="D100">
        <v>7.6999999999999999E-2</v>
      </c>
      <c r="E100">
        <v>1.24E-2</v>
      </c>
      <c r="F100">
        <v>652</v>
      </c>
      <c r="G100">
        <v>652</v>
      </c>
      <c r="H100">
        <v>652</v>
      </c>
      <c r="I100">
        <v>0</v>
      </c>
      <c r="J100">
        <v>0</v>
      </c>
      <c r="K100">
        <v>1</v>
      </c>
      <c r="L100">
        <v>-360</v>
      </c>
      <c r="M100">
        <v>360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C4B1-3D05-47DE-9FAE-024E5EAAEAAE}">
  <dimension ref="A1:AK67"/>
  <sheetViews>
    <sheetView workbookViewId="0">
      <selection activeCell="R1" sqref="R1"/>
    </sheetView>
  </sheetViews>
  <sheetFormatPr defaultRowHeight="15" x14ac:dyDescent="0.25"/>
  <cols>
    <col min="17" max="17" width="10" bestFit="1" customWidth="1"/>
    <col min="25" max="25" width="21" bestFit="1" customWidth="1"/>
    <col min="27" max="27" width="14.7109375" customWidth="1"/>
  </cols>
  <sheetData>
    <row r="1" spans="1:37" s="1" customFormat="1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338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Y1" s="1" t="s">
        <v>43</v>
      </c>
      <c r="Z1" s="1" t="s">
        <v>44</v>
      </c>
      <c r="AA1" s="1" t="s">
        <v>45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</row>
    <row r="2" spans="1:37" x14ac:dyDescent="0.25">
      <c r="A2">
        <v>1</v>
      </c>
      <c r="B2">
        <v>493.5</v>
      </c>
      <c r="C2">
        <v>-24.62</v>
      </c>
      <c r="D2">
        <v>139.22</v>
      </c>
      <c r="E2">
        <v>-188.46</v>
      </c>
      <c r="F2">
        <v>1</v>
      </c>
      <c r="G2">
        <v>100</v>
      </c>
      <c r="H2">
        <v>1</v>
      </c>
      <c r="I2">
        <v>668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W2">
        <f>SUM(I2:I67)</f>
        <v>82384.800000000003</v>
      </c>
      <c r="AA2" t="s">
        <v>46</v>
      </c>
      <c r="AB2">
        <v>10</v>
      </c>
      <c r="AE2">
        <v>1</v>
      </c>
      <c r="AF2">
        <v>1</v>
      </c>
      <c r="AG2" t="s">
        <v>61</v>
      </c>
      <c r="AH2" t="s">
        <v>46</v>
      </c>
      <c r="AI2" t="s">
        <v>62</v>
      </c>
    </row>
    <row r="3" spans="1:37" x14ac:dyDescent="0.25">
      <c r="A3">
        <v>1</v>
      </c>
      <c r="B3">
        <v>549.58000000000004</v>
      </c>
      <c r="C3">
        <v>19.47</v>
      </c>
      <c r="D3">
        <v>105.23</v>
      </c>
      <c r="E3">
        <v>-66.3</v>
      </c>
      <c r="F3">
        <v>1</v>
      </c>
      <c r="G3">
        <v>100</v>
      </c>
      <c r="H3">
        <v>1</v>
      </c>
      <c r="I3">
        <v>554.28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AA3" t="s">
        <v>54</v>
      </c>
      <c r="AB3">
        <v>6</v>
      </c>
      <c r="AE3">
        <v>2</v>
      </c>
      <c r="AF3">
        <v>1</v>
      </c>
      <c r="AG3" t="s">
        <v>63</v>
      </c>
      <c r="AH3" t="s">
        <v>47</v>
      </c>
      <c r="AI3" t="s">
        <v>48</v>
      </c>
      <c r="AJ3" t="s">
        <v>62</v>
      </c>
    </row>
    <row r="4" spans="1:37" x14ac:dyDescent="0.25">
      <c r="A4">
        <v>1</v>
      </c>
      <c r="B4">
        <v>0</v>
      </c>
      <c r="C4">
        <v>40</v>
      </c>
      <c r="D4">
        <v>180</v>
      </c>
      <c r="E4">
        <v>-100</v>
      </c>
      <c r="F4">
        <v>1</v>
      </c>
      <c r="G4">
        <v>100</v>
      </c>
      <c r="H4">
        <v>1</v>
      </c>
      <c r="I4">
        <v>300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AA4" t="s">
        <v>49</v>
      </c>
      <c r="AB4">
        <v>1E-3</v>
      </c>
      <c r="AE4">
        <v>3</v>
      </c>
      <c r="AF4">
        <v>1</v>
      </c>
      <c r="AG4" s="2">
        <v>45919</v>
      </c>
      <c r="AH4" t="s">
        <v>53</v>
      </c>
      <c r="AI4" t="s">
        <v>62</v>
      </c>
    </row>
    <row r="5" spans="1:37" x14ac:dyDescent="0.25">
      <c r="A5">
        <v>1</v>
      </c>
      <c r="B5">
        <v>18.72</v>
      </c>
      <c r="C5">
        <v>-0.6</v>
      </c>
      <c r="D5">
        <v>7.8</v>
      </c>
      <c r="E5">
        <v>-8.99</v>
      </c>
      <c r="F5">
        <v>1</v>
      </c>
      <c r="G5">
        <v>100</v>
      </c>
      <c r="H5">
        <v>1</v>
      </c>
      <c r="I5">
        <v>18.72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AA5" t="s">
        <v>50</v>
      </c>
      <c r="AB5">
        <v>0.05</v>
      </c>
      <c r="AE5">
        <v>4</v>
      </c>
      <c r="AF5">
        <v>2</v>
      </c>
      <c r="AG5" t="s">
        <v>64</v>
      </c>
      <c r="AH5" t="s">
        <v>65</v>
      </c>
      <c r="AI5" t="s">
        <v>66</v>
      </c>
      <c r="AJ5" t="s">
        <v>67</v>
      </c>
      <c r="AK5">
        <v>2</v>
      </c>
    </row>
    <row r="6" spans="1:37" x14ac:dyDescent="0.25">
      <c r="A6">
        <v>2</v>
      </c>
      <c r="B6">
        <v>36.43</v>
      </c>
      <c r="C6">
        <v>-1.67</v>
      </c>
      <c r="D6">
        <v>14.33</v>
      </c>
      <c r="E6">
        <v>-17.670000000000002</v>
      </c>
      <c r="F6">
        <v>1</v>
      </c>
      <c r="G6">
        <v>100</v>
      </c>
      <c r="H6">
        <v>1</v>
      </c>
      <c r="I6">
        <v>50.6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AA6" t="s">
        <v>51</v>
      </c>
      <c r="AB6">
        <v>0.1</v>
      </c>
      <c r="AE6">
        <v>5</v>
      </c>
      <c r="AF6">
        <v>2</v>
      </c>
      <c r="AG6" s="2">
        <v>45820</v>
      </c>
      <c r="AH6" t="s">
        <v>68</v>
      </c>
      <c r="AI6" t="s">
        <v>66</v>
      </c>
      <c r="AJ6" t="s">
        <v>69</v>
      </c>
      <c r="AK6">
        <v>2</v>
      </c>
    </row>
    <row r="7" spans="1:37" x14ac:dyDescent="0.25">
      <c r="A7">
        <v>2</v>
      </c>
      <c r="B7">
        <v>1524</v>
      </c>
      <c r="C7">
        <v>317.58</v>
      </c>
      <c r="D7">
        <v>1108.51</v>
      </c>
      <c r="E7">
        <v>-473.36</v>
      </c>
      <c r="F7">
        <v>1</v>
      </c>
      <c r="G7">
        <v>100</v>
      </c>
      <c r="H7">
        <v>1</v>
      </c>
      <c r="I7">
        <v>1524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AA7" t="s">
        <v>52</v>
      </c>
      <c r="AB7">
        <v>0.04</v>
      </c>
      <c r="AE7">
        <v>6</v>
      </c>
      <c r="AF7">
        <v>3</v>
      </c>
      <c r="AG7" t="s">
        <v>70</v>
      </c>
      <c r="AH7" t="s">
        <v>46</v>
      </c>
      <c r="AI7" t="s">
        <v>62</v>
      </c>
    </row>
    <row r="8" spans="1:37" x14ac:dyDescent="0.25">
      <c r="A8">
        <v>2</v>
      </c>
      <c r="B8">
        <v>12</v>
      </c>
      <c r="C8">
        <v>0</v>
      </c>
      <c r="D8">
        <v>0</v>
      </c>
      <c r="E8">
        <v>0</v>
      </c>
      <c r="F8">
        <v>1</v>
      </c>
      <c r="G8">
        <v>100</v>
      </c>
      <c r="H8">
        <v>1</v>
      </c>
      <c r="I8">
        <v>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AA8" t="s">
        <v>53</v>
      </c>
      <c r="AB8">
        <v>0.04</v>
      </c>
      <c r="AE8">
        <v>7</v>
      </c>
      <c r="AF8">
        <v>3</v>
      </c>
      <c r="AG8" s="2">
        <v>45884</v>
      </c>
      <c r="AH8" t="s">
        <v>53</v>
      </c>
      <c r="AI8" t="s">
        <v>62</v>
      </c>
    </row>
    <row r="9" spans="1:37" x14ac:dyDescent="0.25">
      <c r="A9">
        <v>3</v>
      </c>
      <c r="B9">
        <v>387.9</v>
      </c>
      <c r="C9">
        <v>-14.9</v>
      </c>
      <c r="D9">
        <v>128.34</v>
      </c>
      <c r="E9">
        <v>-158.13999999999999</v>
      </c>
      <c r="F9">
        <v>1</v>
      </c>
      <c r="G9">
        <v>100</v>
      </c>
      <c r="H9">
        <v>1</v>
      </c>
      <c r="I9">
        <v>550.99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AE9">
        <v>8</v>
      </c>
      <c r="AF9">
        <v>4</v>
      </c>
      <c r="AG9" t="s">
        <v>71</v>
      </c>
      <c r="AH9" t="s">
        <v>68</v>
      </c>
      <c r="AI9" t="s">
        <v>66</v>
      </c>
      <c r="AJ9" t="s">
        <v>72</v>
      </c>
      <c r="AK9">
        <v>4</v>
      </c>
    </row>
    <row r="10" spans="1:37" x14ac:dyDescent="0.25">
      <c r="A10">
        <v>3</v>
      </c>
      <c r="B10">
        <v>13.54</v>
      </c>
      <c r="C10">
        <v>-3.51</v>
      </c>
      <c r="D10">
        <v>-3.51</v>
      </c>
      <c r="E10">
        <v>-3.51</v>
      </c>
      <c r="F10">
        <v>1</v>
      </c>
      <c r="G10">
        <v>100</v>
      </c>
      <c r="H10">
        <v>1</v>
      </c>
      <c r="I10">
        <v>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AE10">
        <v>9</v>
      </c>
      <c r="AF10">
        <v>4</v>
      </c>
      <c r="AG10" t="s">
        <v>73</v>
      </c>
      <c r="AH10" t="s">
        <v>74</v>
      </c>
      <c r="AI10" t="s">
        <v>75</v>
      </c>
      <c r="AJ10" t="s">
        <v>76</v>
      </c>
      <c r="AK10" t="s">
        <v>62</v>
      </c>
    </row>
    <row r="11" spans="1:37" x14ac:dyDescent="0.25">
      <c r="A11">
        <v>3</v>
      </c>
      <c r="B11">
        <v>553</v>
      </c>
      <c r="C11">
        <v>39.31</v>
      </c>
      <c r="D11">
        <v>144.79</v>
      </c>
      <c r="E11">
        <v>-66.17</v>
      </c>
      <c r="F11">
        <v>1</v>
      </c>
      <c r="G11">
        <v>100</v>
      </c>
      <c r="H11">
        <v>1</v>
      </c>
      <c r="I11">
        <v>553.12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AE11">
        <v>10</v>
      </c>
      <c r="AF11">
        <v>4</v>
      </c>
      <c r="AG11" t="s">
        <v>77</v>
      </c>
      <c r="AH11" t="s">
        <v>47</v>
      </c>
      <c r="AI11" t="s">
        <v>48</v>
      </c>
      <c r="AJ11" t="s">
        <v>62</v>
      </c>
    </row>
    <row r="12" spans="1:37" x14ac:dyDescent="0.25">
      <c r="A12">
        <v>3</v>
      </c>
      <c r="B12">
        <v>15.12</v>
      </c>
      <c r="C12">
        <v>-0.39</v>
      </c>
      <c r="D12">
        <v>6.51</v>
      </c>
      <c r="E12">
        <v>-7.29</v>
      </c>
      <c r="F12">
        <v>1</v>
      </c>
      <c r="G12">
        <v>100</v>
      </c>
      <c r="H12">
        <v>1</v>
      </c>
      <c r="I12">
        <v>15.12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AE12">
        <v>11</v>
      </c>
      <c r="AF12">
        <v>5</v>
      </c>
      <c r="AG12" s="2">
        <v>46014</v>
      </c>
      <c r="AH12" t="s">
        <v>65</v>
      </c>
      <c r="AI12" t="s">
        <v>66</v>
      </c>
      <c r="AJ12" t="s">
        <v>78</v>
      </c>
      <c r="AK12">
        <v>5</v>
      </c>
    </row>
    <row r="13" spans="1:37" x14ac:dyDescent="0.25">
      <c r="A13">
        <v>4</v>
      </c>
      <c r="B13">
        <v>25.2</v>
      </c>
      <c r="C13">
        <v>-0.84</v>
      </c>
      <c r="D13">
        <v>10.66</v>
      </c>
      <c r="E13">
        <v>-12.34</v>
      </c>
      <c r="F13">
        <v>1</v>
      </c>
      <c r="G13">
        <v>100</v>
      </c>
      <c r="H13">
        <v>1</v>
      </c>
      <c r="I13">
        <v>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AE13">
        <v>12</v>
      </c>
      <c r="AF13">
        <v>5</v>
      </c>
      <c r="AG13" t="s">
        <v>79</v>
      </c>
      <c r="AH13" t="s">
        <v>49</v>
      </c>
      <c r="AI13" t="s">
        <v>80</v>
      </c>
      <c r="AJ13" t="s">
        <v>62</v>
      </c>
    </row>
    <row r="14" spans="1:37" x14ac:dyDescent="0.25">
      <c r="A14">
        <v>4</v>
      </c>
      <c r="B14">
        <v>2284</v>
      </c>
      <c r="C14">
        <v>-18.77</v>
      </c>
      <c r="D14">
        <v>641.47</v>
      </c>
      <c r="E14">
        <v>-679</v>
      </c>
      <c r="F14">
        <v>1</v>
      </c>
      <c r="G14">
        <v>100</v>
      </c>
      <c r="H14">
        <v>1</v>
      </c>
      <c r="I14">
        <v>2284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AE14">
        <v>13</v>
      </c>
      <c r="AF14">
        <v>6</v>
      </c>
      <c r="AG14" t="s">
        <v>81</v>
      </c>
      <c r="AH14" t="s">
        <v>46</v>
      </c>
      <c r="AI14" t="s">
        <v>62</v>
      </c>
    </row>
    <row r="15" spans="1:37" x14ac:dyDescent="0.25">
      <c r="A15">
        <v>4</v>
      </c>
      <c r="B15">
        <v>340</v>
      </c>
      <c r="C15">
        <v>6.24</v>
      </c>
      <c r="D15">
        <v>150.34</v>
      </c>
      <c r="E15">
        <v>-137.86000000000001</v>
      </c>
      <c r="F15">
        <v>1</v>
      </c>
      <c r="G15">
        <v>100</v>
      </c>
      <c r="H15">
        <v>1</v>
      </c>
      <c r="I15">
        <v>440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AE15">
        <v>14</v>
      </c>
      <c r="AF15">
        <v>6</v>
      </c>
      <c r="AG15" t="s">
        <v>82</v>
      </c>
      <c r="AH15" t="s">
        <v>53</v>
      </c>
      <c r="AI15" t="s">
        <v>62</v>
      </c>
    </row>
    <row r="16" spans="1:37" x14ac:dyDescent="0.25">
      <c r="A16">
        <v>4</v>
      </c>
      <c r="B16">
        <v>259</v>
      </c>
      <c r="C16">
        <v>7.16</v>
      </c>
      <c r="D16">
        <v>137.27000000000001</v>
      </c>
      <c r="E16">
        <v>-122.95</v>
      </c>
      <c r="F16">
        <v>1</v>
      </c>
      <c r="G16">
        <v>100</v>
      </c>
      <c r="H16">
        <v>1</v>
      </c>
      <c r="I16">
        <v>259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AE16">
        <v>15</v>
      </c>
      <c r="AF16">
        <v>7</v>
      </c>
      <c r="AG16" t="s">
        <v>83</v>
      </c>
      <c r="AH16" t="s">
        <v>49</v>
      </c>
      <c r="AI16" t="s">
        <v>80</v>
      </c>
      <c r="AJ16" t="s">
        <v>62</v>
      </c>
    </row>
    <row r="17" spans="1:37" x14ac:dyDescent="0.25">
      <c r="A17">
        <v>5</v>
      </c>
      <c r="B17">
        <v>1074</v>
      </c>
      <c r="C17">
        <v>-6.65</v>
      </c>
      <c r="D17">
        <v>416.47</v>
      </c>
      <c r="E17">
        <v>-429.77</v>
      </c>
      <c r="F17">
        <v>1</v>
      </c>
      <c r="G17">
        <v>100</v>
      </c>
      <c r="H17">
        <v>1</v>
      </c>
      <c r="I17">
        <v>1074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AE17">
        <v>16</v>
      </c>
      <c r="AF17">
        <v>7</v>
      </c>
      <c r="AG17" t="s">
        <v>84</v>
      </c>
      <c r="AH17" t="s">
        <v>85</v>
      </c>
      <c r="AI17" t="s">
        <v>75</v>
      </c>
      <c r="AJ17" t="s">
        <v>76</v>
      </c>
      <c r="AK17" t="s">
        <v>62</v>
      </c>
    </row>
    <row r="18" spans="1:37" x14ac:dyDescent="0.25">
      <c r="A18">
        <v>5</v>
      </c>
      <c r="B18">
        <v>23.2</v>
      </c>
      <c r="C18">
        <v>2.72</v>
      </c>
      <c r="D18">
        <v>15.39</v>
      </c>
      <c r="E18">
        <v>-9.94</v>
      </c>
      <c r="F18">
        <v>1</v>
      </c>
      <c r="G18">
        <v>100</v>
      </c>
      <c r="H18">
        <v>1</v>
      </c>
      <c r="I18">
        <v>23.2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AE18">
        <v>17</v>
      </c>
      <c r="AF18">
        <v>10</v>
      </c>
      <c r="AG18" t="s">
        <v>86</v>
      </c>
      <c r="AH18" t="s">
        <v>65</v>
      </c>
      <c r="AI18" t="s">
        <v>66</v>
      </c>
      <c r="AJ18" t="s">
        <v>87</v>
      </c>
      <c r="AK18">
        <v>10</v>
      </c>
    </row>
    <row r="19" spans="1:37" x14ac:dyDescent="0.25">
      <c r="A19">
        <v>6</v>
      </c>
      <c r="B19">
        <v>1001.52</v>
      </c>
      <c r="C19">
        <v>-22.57</v>
      </c>
      <c r="D19">
        <v>439.66</v>
      </c>
      <c r="E19">
        <v>-484.8</v>
      </c>
      <c r="F19">
        <v>1</v>
      </c>
      <c r="G19">
        <v>100</v>
      </c>
      <c r="H19">
        <v>1</v>
      </c>
      <c r="I19">
        <v>1390.92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AE19">
        <v>18</v>
      </c>
      <c r="AF19">
        <v>10</v>
      </c>
      <c r="AG19" t="s">
        <v>88</v>
      </c>
      <c r="AH19" t="s">
        <v>49</v>
      </c>
      <c r="AI19" t="s">
        <v>80</v>
      </c>
      <c r="AJ19" t="s">
        <v>62</v>
      </c>
    </row>
    <row r="20" spans="1:37" x14ac:dyDescent="0.25">
      <c r="A20">
        <v>6</v>
      </c>
      <c r="B20">
        <v>33</v>
      </c>
      <c r="C20">
        <v>-0.35</v>
      </c>
      <c r="D20">
        <v>24.8</v>
      </c>
      <c r="E20">
        <v>-25.5</v>
      </c>
      <c r="F20">
        <v>1</v>
      </c>
      <c r="G20">
        <v>100</v>
      </c>
      <c r="H20">
        <v>1</v>
      </c>
      <c r="I20">
        <v>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AE20">
        <v>19</v>
      </c>
      <c r="AF20">
        <v>10</v>
      </c>
      <c r="AG20" t="s">
        <v>89</v>
      </c>
      <c r="AH20" t="s">
        <v>90</v>
      </c>
      <c r="AI20" t="s">
        <v>75</v>
      </c>
      <c r="AJ20" t="s">
        <v>76</v>
      </c>
      <c r="AK20" t="s">
        <v>62</v>
      </c>
    </row>
    <row r="21" spans="1:37" x14ac:dyDescent="0.25">
      <c r="A21">
        <v>6</v>
      </c>
      <c r="B21">
        <v>49.4</v>
      </c>
      <c r="C21">
        <v>-2.7</v>
      </c>
      <c r="D21">
        <v>12.09</v>
      </c>
      <c r="E21">
        <v>-17.489999999999998</v>
      </c>
      <c r="F21">
        <v>1</v>
      </c>
      <c r="G21">
        <v>100</v>
      </c>
      <c r="H21">
        <v>1</v>
      </c>
      <c r="I21">
        <v>49.4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AE21">
        <v>20</v>
      </c>
      <c r="AF21">
        <v>11</v>
      </c>
      <c r="AG21" t="s">
        <v>91</v>
      </c>
      <c r="AH21" t="s">
        <v>65</v>
      </c>
      <c r="AI21" t="s">
        <v>66</v>
      </c>
      <c r="AJ21" t="s">
        <v>92</v>
      </c>
      <c r="AK21">
        <v>44</v>
      </c>
    </row>
    <row r="22" spans="1:37" x14ac:dyDescent="0.25">
      <c r="A22">
        <v>7</v>
      </c>
      <c r="B22">
        <v>226.8</v>
      </c>
      <c r="C22">
        <v>-2.63</v>
      </c>
      <c r="D22">
        <v>125.76</v>
      </c>
      <c r="E22">
        <v>-131.02000000000001</v>
      </c>
      <c r="F22">
        <v>1</v>
      </c>
      <c r="G22">
        <v>100</v>
      </c>
      <c r="H22">
        <v>1</v>
      </c>
      <c r="I22">
        <v>314.25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AE22">
        <v>21</v>
      </c>
      <c r="AF22">
        <v>11</v>
      </c>
      <c r="AG22" t="s">
        <v>93</v>
      </c>
      <c r="AH22" t="s">
        <v>68</v>
      </c>
      <c r="AI22" t="s">
        <v>66</v>
      </c>
      <c r="AJ22" t="s">
        <v>94</v>
      </c>
      <c r="AK22">
        <v>44</v>
      </c>
    </row>
    <row r="23" spans="1:37" x14ac:dyDescent="0.25">
      <c r="A23">
        <v>7</v>
      </c>
      <c r="B23">
        <v>1216</v>
      </c>
      <c r="C23">
        <v>106.13</v>
      </c>
      <c r="D23">
        <v>681.34</v>
      </c>
      <c r="E23">
        <v>-469.07</v>
      </c>
      <c r="F23">
        <v>1</v>
      </c>
      <c r="G23">
        <v>100</v>
      </c>
      <c r="H23">
        <v>1</v>
      </c>
      <c r="I23">
        <v>1215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AE23">
        <v>22</v>
      </c>
      <c r="AF23">
        <v>11</v>
      </c>
      <c r="AG23" t="s">
        <v>95</v>
      </c>
      <c r="AH23" t="s">
        <v>49</v>
      </c>
      <c r="AI23" t="s">
        <v>80</v>
      </c>
      <c r="AJ23" t="s">
        <v>62</v>
      </c>
    </row>
    <row r="24" spans="1:37" x14ac:dyDescent="0.25">
      <c r="A24">
        <v>7</v>
      </c>
      <c r="B24">
        <v>1104</v>
      </c>
      <c r="C24">
        <v>7.55</v>
      </c>
      <c r="D24">
        <v>220.34</v>
      </c>
      <c r="E24">
        <v>-205.24</v>
      </c>
      <c r="F24">
        <v>1</v>
      </c>
      <c r="G24">
        <v>100</v>
      </c>
      <c r="H24">
        <v>1</v>
      </c>
      <c r="I24">
        <v>1102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AE24">
        <v>23</v>
      </c>
      <c r="AF24">
        <v>11</v>
      </c>
      <c r="AG24" t="s">
        <v>96</v>
      </c>
      <c r="AH24" t="s">
        <v>74</v>
      </c>
      <c r="AI24" t="s">
        <v>75</v>
      </c>
      <c r="AJ24" t="s">
        <v>76</v>
      </c>
      <c r="AK24" t="s">
        <v>62</v>
      </c>
    </row>
    <row r="25" spans="1:37" x14ac:dyDescent="0.25">
      <c r="A25">
        <v>10</v>
      </c>
      <c r="B25">
        <v>1208</v>
      </c>
      <c r="C25">
        <v>9.76</v>
      </c>
      <c r="D25">
        <v>559.19000000000005</v>
      </c>
      <c r="E25">
        <v>-539.67999999999995</v>
      </c>
      <c r="F25">
        <v>1</v>
      </c>
      <c r="G25">
        <v>100</v>
      </c>
      <c r="H25">
        <v>1</v>
      </c>
      <c r="I25">
        <v>1207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AE25">
        <v>24</v>
      </c>
      <c r="AF25">
        <v>12</v>
      </c>
      <c r="AG25" t="s">
        <v>97</v>
      </c>
      <c r="AH25" t="s">
        <v>65</v>
      </c>
      <c r="AI25" t="s">
        <v>66</v>
      </c>
      <c r="AJ25" t="s">
        <v>98</v>
      </c>
      <c r="AK25">
        <v>46</v>
      </c>
    </row>
    <row r="26" spans="1:37" x14ac:dyDescent="0.25">
      <c r="A26">
        <v>10</v>
      </c>
      <c r="B26">
        <v>1875</v>
      </c>
      <c r="C26">
        <v>-66.23</v>
      </c>
      <c r="D26">
        <v>697.17</v>
      </c>
      <c r="E26">
        <v>-829.63</v>
      </c>
      <c r="F26">
        <v>1</v>
      </c>
      <c r="G26">
        <v>100</v>
      </c>
      <c r="H26">
        <v>1</v>
      </c>
      <c r="I26">
        <v>1875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AE26">
        <v>25</v>
      </c>
      <c r="AF26">
        <v>12</v>
      </c>
      <c r="AG26" t="s">
        <v>99</v>
      </c>
      <c r="AH26" t="s">
        <v>68</v>
      </c>
      <c r="AI26" t="s">
        <v>66</v>
      </c>
      <c r="AJ26" t="s">
        <v>100</v>
      </c>
      <c r="AK26">
        <v>46</v>
      </c>
    </row>
    <row r="27" spans="1:37" x14ac:dyDescent="0.25">
      <c r="A27">
        <v>10</v>
      </c>
      <c r="B27">
        <v>420</v>
      </c>
      <c r="C27">
        <v>14.95</v>
      </c>
      <c r="D27">
        <v>167.95</v>
      </c>
      <c r="E27">
        <v>-138.04</v>
      </c>
      <c r="F27">
        <v>1</v>
      </c>
      <c r="G27">
        <v>100</v>
      </c>
      <c r="H27">
        <v>1</v>
      </c>
      <c r="I27">
        <v>420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AE27">
        <v>26</v>
      </c>
      <c r="AF27">
        <v>12</v>
      </c>
      <c r="AG27" t="s">
        <v>101</v>
      </c>
      <c r="AH27" t="s">
        <v>49</v>
      </c>
      <c r="AI27" t="s">
        <v>102</v>
      </c>
      <c r="AJ27" t="s">
        <v>62</v>
      </c>
    </row>
    <row r="28" spans="1:37" x14ac:dyDescent="0.25">
      <c r="A28">
        <v>11</v>
      </c>
      <c r="B28">
        <v>130.32</v>
      </c>
      <c r="C28">
        <v>-57.6</v>
      </c>
      <c r="D28">
        <v>-57.6</v>
      </c>
      <c r="E28">
        <v>-57.6</v>
      </c>
      <c r="F28">
        <v>1</v>
      </c>
      <c r="G28">
        <v>100</v>
      </c>
      <c r="H28">
        <v>1</v>
      </c>
      <c r="I28">
        <v>180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AE28">
        <v>27</v>
      </c>
      <c r="AF28">
        <v>12</v>
      </c>
      <c r="AG28" t="s">
        <v>103</v>
      </c>
      <c r="AH28" t="s">
        <v>47</v>
      </c>
      <c r="AI28" t="s">
        <v>48</v>
      </c>
      <c r="AJ28" t="s">
        <v>62</v>
      </c>
    </row>
    <row r="29" spans="1:37" x14ac:dyDescent="0.25">
      <c r="A29">
        <v>11</v>
      </c>
      <c r="B29">
        <v>2406</v>
      </c>
      <c r="C29">
        <v>104.89</v>
      </c>
      <c r="D29">
        <v>1216.0999999999999</v>
      </c>
      <c r="E29">
        <v>-1006.32</v>
      </c>
      <c r="F29">
        <v>1</v>
      </c>
      <c r="G29">
        <v>100</v>
      </c>
      <c r="H29">
        <v>1</v>
      </c>
      <c r="I29">
        <v>2406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AE29">
        <v>28</v>
      </c>
      <c r="AF29">
        <v>15</v>
      </c>
      <c r="AG29" t="s">
        <v>104</v>
      </c>
      <c r="AH29" t="s">
        <v>74</v>
      </c>
      <c r="AI29" t="s">
        <v>75</v>
      </c>
      <c r="AJ29" t="s">
        <v>76</v>
      </c>
      <c r="AK29" t="s">
        <v>62</v>
      </c>
    </row>
    <row r="30" spans="1:37" x14ac:dyDescent="0.25">
      <c r="A30">
        <v>11</v>
      </c>
      <c r="B30">
        <v>1961</v>
      </c>
      <c r="C30">
        <v>150.88</v>
      </c>
      <c r="D30">
        <v>873.22</v>
      </c>
      <c r="E30">
        <v>-571.46</v>
      </c>
      <c r="F30">
        <v>1</v>
      </c>
      <c r="G30">
        <v>100</v>
      </c>
      <c r="H30">
        <v>1</v>
      </c>
      <c r="I30">
        <v>1987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AE30">
        <v>29</v>
      </c>
      <c r="AF30">
        <v>16</v>
      </c>
      <c r="AG30" t="s">
        <v>105</v>
      </c>
      <c r="AH30" t="s">
        <v>65</v>
      </c>
      <c r="AI30" t="s">
        <v>66</v>
      </c>
      <c r="AJ30" t="s">
        <v>106</v>
      </c>
      <c r="AK30">
        <v>20</v>
      </c>
    </row>
    <row r="31" spans="1:37" x14ac:dyDescent="0.25">
      <c r="A31">
        <v>11</v>
      </c>
      <c r="B31">
        <v>155</v>
      </c>
      <c r="C31">
        <v>9.51</v>
      </c>
      <c r="D31">
        <v>94.22</v>
      </c>
      <c r="E31">
        <v>-75.209999999999994</v>
      </c>
      <c r="F31">
        <v>1</v>
      </c>
      <c r="G31">
        <v>100</v>
      </c>
      <c r="H31">
        <v>1</v>
      </c>
      <c r="I31">
        <v>155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AE31">
        <v>30</v>
      </c>
      <c r="AF31">
        <v>16</v>
      </c>
      <c r="AG31" t="s">
        <v>107</v>
      </c>
      <c r="AH31" t="s">
        <v>68</v>
      </c>
      <c r="AI31" t="s">
        <v>66</v>
      </c>
      <c r="AJ31" t="s">
        <v>108</v>
      </c>
      <c r="AK31">
        <v>20</v>
      </c>
    </row>
    <row r="32" spans="1:37" x14ac:dyDescent="0.25">
      <c r="A32">
        <v>11</v>
      </c>
      <c r="B32">
        <v>1039</v>
      </c>
      <c r="C32">
        <v>65.62</v>
      </c>
      <c r="D32">
        <v>670.32</v>
      </c>
      <c r="E32">
        <v>-539.07000000000005</v>
      </c>
      <c r="F32">
        <v>1</v>
      </c>
      <c r="G32">
        <v>100</v>
      </c>
      <c r="H32">
        <v>1</v>
      </c>
      <c r="I32">
        <v>1039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AE32">
        <v>31</v>
      </c>
      <c r="AF32">
        <v>16</v>
      </c>
      <c r="AG32" t="s">
        <v>109</v>
      </c>
      <c r="AH32" t="s">
        <v>74</v>
      </c>
      <c r="AI32" t="s">
        <v>75</v>
      </c>
      <c r="AJ32" t="s">
        <v>76</v>
      </c>
      <c r="AK32" t="s">
        <v>62</v>
      </c>
    </row>
    <row r="33" spans="1:37" x14ac:dyDescent="0.25">
      <c r="A33">
        <v>12</v>
      </c>
      <c r="B33">
        <v>980</v>
      </c>
      <c r="C33">
        <v>80.930000000000007</v>
      </c>
      <c r="D33">
        <v>579.98</v>
      </c>
      <c r="E33">
        <v>-418.12</v>
      </c>
      <c r="F33">
        <v>1</v>
      </c>
      <c r="G33">
        <v>100</v>
      </c>
      <c r="H33">
        <v>1</v>
      </c>
      <c r="I33">
        <v>980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AE33">
        <v>32</v>
      </c>
      <c r="AF33">
        <v>17</v>
      </c>
      <c r="AG33" t="s">
        <v>110</v>
      </c>
      <c r="AH33" t="s">
        <v>74</v>
      </c>
      <c r="AI33" t="s">
        <v>75</v>
      </c>
      <c r="AJ33" t="s">
        <v>76</v>
      </c>
      <c r="AK33" t="s">
        <v>62</v>
      </c>
    </row>
    <row r="34" spans="1:37" x14ac:dyDescent="0.25">
      <c r="A34">
        <v>12</v>
      </c>
      <c r="B34">
        <v>1885</v>
      </c>
      <c r="C34">
        <v>53.49</v>
      </c>
      <c r="D34">
        <v>960.05</v>
      </c>
      <c r="E34">
        <v>-853.06</v>
      </c>
      <c r="F34">
        <v>1</v>
      </c>
      <c r="G34">
        <v>100</v>
      </c>
      <c r="H34">
        <v>1</v>
      </c>
      <c r="I34">
        <v>1885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AE34">
        <v>33</v>
      </c>
      <c r="AF34">
        <v>18</v>
      </c>
      <c r="AG34" t="s">
        <v>111</v>
      </c>
      <c r="AH34" t="s">
        <v>68</v>
      </c>
      <c r="AI34" t="s">
        <v>66</v>
      </c>
      <c r="AJ34" t="s">
        <v>112</v>
      </c>
      <c r="AK34">
        <v>37</v>
      </c>
    </row>
    <row r="35" spans="1:37" x14ac:dyDescent="0.25">
      <c r="A35">
        <v>12</v>
      </c>
      <c r="B35">
        <v>210</v>
      </c>
      <c r="C35">
        <v>10.73</v>
      </c>
      <c r="D35">
        <v>116.42</v>
      </c>
      <c r="E35">
        <v>-94.97</v>
      </c>
      <c r="F35">
        <v>1</v>
      </c>
      <c r="G35">
        <v>100</v>
      </c>
      <c r="H35">
        <v>1</v>
      </c>
      <c r="I35">
        <v>210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AE35">
        <v>34</v>
      </c>
      <c r="AF35">
        <v>18</v>
      </c>
      <c r="AG35" t="s">
        <v>113</v>
      </c>
      <c r="AH35" t="s">
        <v>74</v>
      </c>
      <c r="AI35" t="s">
        <v>75</v>
      </c>
      <c r="AJ35" t="s">
        <v>76</v>
      </c>
      <c r="AK35" t="s">
        <v>62</v>
      </c>
    </row>
    <row r="36" spans="1:37" x14ac:dyDescent="0.25">
      <c r="A36">
        <v>12</v>
      </c>
      <c r="B36">
        <v>1096</v>
      </c>
      <c r="C36">
        <v>-115.52</v>
      </c>
      <c r="D36">
        <v>344.48</v>
      </c>
      <c r="E36">
        <v>-575.52</v>
      </c>
      <c r="F36">
        <v>1</v>
      </c>
      <c r="G36">
        <v>100</v>
      </c>
      <c r="H36">
        <v>1</v>
      </c>
      <c r="I36">
        <v>2004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AE36">
        <v>35</v>
      </c>
      <c r="AF36">
        <v>19</v>
      </c>
      <c r="AG36" t="s">
        <v>114</v>
      </c>
      <c r="AH36" t="s">
        <v>65</v>
      </c>
      <c r="AI36" t="s">
        <v>66</v>
      </c>
      <c r="AJ36" t="s">
        <v>115</v>
      </c>
      <c r="AK36">
        <v>28</v>
      </c>
    </row>
    <row r="37" spans="1:37" x14ac:dyDescent="0.25">
      <c r="A37">
        <v>15</v>
      </c>
      <c r="B37">
        <v>7800</v>
      </c>
      <c r="C37">
        <v>503.58</v>
      </c>
      <c r="D37">
        <v>3535.03</v>
      </c>
      <c r="E37">
        <v>-2527.87</v>
      </c>
      <c r="F37">
        <v>1</v>
      </c>
      <c r="G37">
        <v>100</v>
      </c>
      <c r="H37">
        <v>1</v>
      </c>
      <c r="I37">
        <v>7832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AE37">
        <v>36</v>
      </c>
      <c r="AF37">
        <v>19</v>
      </c>
      <c r="AG37" t="s">
        <v>116</v>
      </c>
      <c r="AH37" t="s">
        <v>53</v>
      </c>
      <c r="AI37" t="s">
        <v>62</v>
      </c>
    </row>
    <row r="38" spans="1:37" x14ac:dyDescent="0.25">
      <c r="A38">
        <v>16</v>
      </c>
      <c r="B38">
        <v>3972</v>
      </c>
      <c r="C38">
        <v>148.72</v>
      </c>
      <c r="D38">
        <v>1587.06</v>
      </c>
      <c r="E38">
        <v>-1289.6199999999999</v>
      </c>
      <c r="F38">
        <v>1</v>
      </c>
      <c r="G38">
        <v>100</v>
      </c>
      <c r="H38">
        <v>1</v>
      </c>
      <c r="I38">
        <v>3987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AE38">
        <v>37</v>
      </c>
      <c r="AF38">
        <v>20</v>
      </c>
      <c r="AG38" t="s">
        <v>117</v>
      </c>
      <c r="AH38" t="s">
        <v>49</v>
      </c>
      <c r="AI38" t="s">
        <v>118</v>
      </c>
      <c r="AJ38" t="s">
        <v>62</v>
      </c>
    </row>
    <row r="39" spans="1:37" x14ac:dyDescent="0.25">
      <c r="A39">
        <v>16</v>
      </c>
      <c r="B39">
        <v>7041</v>
      </c>
      <c r="C39">
        <v>149.33000000000001</v>
      </c>
      <c r="D39">
        <v>3653.23</v>
      </c>
      <c r="E39">
        <v>-3354.58</v>
      </c>
      <c r="F39">
        <v>1</v>
      </c>
      <c r="G39">
        <v>100</v>
      </c>
      <c r="H39">
        <v>1</v>
      </c>
      <c r="I39">
        <v>7040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AE39">
        <v>38</v>
      </c>
      <c r="AF39">
        <v>20</v>
      </c>
      <c r="AG39" t="s">
        <v>119</v>
      </c>
      <c r="AH39" t="s">
        <v>53</v>
      </c>
      <c r="AI39" t="s">
        <v>62</v>
      </c>
    </row>
    <row r="40" spans="1:37" x14ac:dyDescent="0.25">
      <c r="A40">
        <v>16</v>
      </c>
      <c r="B40">
        <v>1218</v>
      </c>
      <c r="C40">
        <v>102.24</v>
      </c>
      <c r="D40">
        <v>767.33</v>
      </c>
      <c r="E40">
        <v>-562.85</v>
      </c>
      <c r="F40">
        <v>1</v>
      </c>
      <c r="G40">
        <v>100</v>
      </c>
      <c r="H40">
        <v>1</v>
      </c>
      <c r="I40">
        <v>1218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AE40">
        <v>39</v>
      </c>
      <c r="AF40">
        <v>21</v>
      </c>
      <c r="AG40" t="s">
        <v>120</v>
      </c>
      <c r="AH40" t="s">
        <v>65</v>
      </c>
      <c r="AI40" t="s">
        <v>66</v>
      </c>
      <c r="AJ40" t="s">
        <v>121</v>
      </c>
      <c r="AK40">
        <v>33</v>
      </c>
    </row>
    <row r="41" spans="1:37" x14ac:dyDescent="0.25">
      <c r="A41">
        <v>17</v>
      </c>
      <c r="B41">
        <v>2000</v>
      </c>
      <c r="C41">
        <v>204.15</v>
      </c>
      <c r="D41">
        <v>814.23</v>
      </c>
      <c r="E41">
        <v>-405.94</v>
      </c>
      <c r="F41">
        <v>1</v>
      </c>
      <c r="G41">
        <v>100</v>
      </c>
      <c r="H41">
        <v>1</v>
      </c>
      <c r="I41">
        <v>2021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AE41">
        <v>40</v>
      </c>
      <c r="AF41">
        <v>22</v>
      </c>
      <c r="AG41" t="s">
        <v>122</v>
      </c>
      <c r="AH41" t="s">
        <v>65</v>
      </c>
      <c r="AI41" t="s">
        <v>66</v>
      </c>
      <c r="AJ41" t="s">
        <v>123</v>
      </c>
      <c r="AK41">
        <v>30</v>
      </c>
    </row>
    <row r="42" spans="1:37" x14ac:dyDescent="0.25">
      <c r="A42">
        <v>18</v>
      </c>
      <c r="B42">
        <v>1960</v>
      </c>
      <c r="C42">
        <v>175.4</v>
      </c>
      <c r="D42">
        <v>884.97</v>
      </c>
      <c r="E42">
        <v>-534.16999999999996</v>
      </c>
      <c r="F42">
        <v>1</v>
      </c>
      <c r="G42">
        <v>100</v>
      </c>
      <c r="H42">
        <v>1</v>
      </c>
      <c r="I42">
        <v>1982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AE42">
        <v>41</v>
      </c>
      <c r="AF42">
        <v>23</v>
      </c>
      <c r="AG42" t="s">
        <v>124</v>
      </c>
      <c r="AH42" t="s">
        <v>65</v>
      </c>
      <c r="AI42" t="s">
        <v>66</v>
      </c>
      <c r="AJ42" t="s">
        <v>125</v>
      </c>
      <c r="AK42">
        <v>59</v>
      </c>
    </row>
    <row r="43" spans="1:37" x14ac:dyDescent="0.25">
      <c r="A43">
        <v>18</v>
      </c>
      <c r="B43">
        <v>228</v>
      </c>
      <c r="C43">
        <v>-16.78</v>
      </c>
      <c r="D43">
        <v>40.020000000000003</v>
      </c>
      <c r="E43">
        <v>-73.58</v>
      </c>
      <c r="F43">
        <v>1</v>
      </c>
      <c r="G43">
        <v>100</v>
      </c>
      <c r="H43">
        <v>1</v>
      </c>
      <c r="I43">
        <v>228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AE43">
        <v>42</v>
      </c>
      <c r="AF43">
        <v>23</v>
      </c>
      <c r="AG43" t="s">
        <v>126</v>
      </c>
      <c r="AH43" t="s">
        <v>50</v>
      </c>
      <c r="AI43" t="s">
        <v>66</v>
      </c>
      <c r="AJ43" t="s">
        <v>127</v>
      </c>
      <c r="AK43">
        <v>59</v>
      </c>
    </row>
    <row r="44" spans="1:37" x14ac:dyDescent="0.25">
      <c r="A44">
        <v>19</v>
      </c>
      <c r="B44">
        <v>2845</v>
      </c>
      <c r="C44">
        <v>-66.180000000000007</v>
      </c>
      <c r="D44">
        <v>1336.63</v>
      </c>
      <c r="E44">
        <v>-1468.98</v>
      </c>
      <c r="F44">
        <v>1</v>
      </c>
      <c r="G44">
        <v>100</v>
      </c>
      <c r="H44">
        <v>1</v>
      </c>
      <c r="I44">
        <v>2845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AE44">
        <v>43</v>
      </c>
      <c r="AF44">
        <v>23</v>
      </c>
      <c r="AG44" t="s">
        <v>128</v>
      </c>
      <c r="AH44" t="s">
        <v>74</v>
      </c>
      <c r="AI44" t="s">
        <v>75</v>
      </c>
      <c r="AJ44" t="s">
        <v>76</v>
      </c>
      <c r="AK44" t="s">
        <v>62</v>
      </c>
    </row>
    <row r="45" spans="1:37" x14ac:dyDescent="0.25">
      <c r="A45">
        <v>19</v>
      </c>
      <c r="B45">
        <v>406.8</v>
      </c>
      <c r="C45">
        <v>0</v>
      </c>
      <c r="D45">
        <v>162.69999999999999</v>
      </c>
      <c r="E45">
        <v>-162.69999999999999</v>
      </c>
      <c r="F45">
        <v>1</v>
      </c>
      <c r="G45">
        <v>100</v>
      </c>
      <c r="H45">
        <v>1</v>
      </c>
      <c r="I45">
        <v>406.8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AE45">
        <v>44</v>
      </c>
      <c r="AF45">
        <v>23</v>
      </c>
      <c r="AG45" t="s">
        <v>129</v>
      </c>
      <c r="AH45" t="s">
        <v>130</v>
      </c>
      <c r="AI45" t="s">
        <v>75</v>
      </c>
      <c r="AJ45" t="s">
        <v>76</v>
      </c>
      <c r="AK45" t="s">
        <v>62</v>
      </c>
    </row>
    <row r="46" spans="1:37" x14ac:dyDescent="0.25">
      <c r="A46">
        <v>20</v>
      </c>
      <c r="B46">
        <v>1200</v>
      </c>
      <c r="C46">
        <v>48.88</v>
      </c>
      <c r="D46">
        <v>621.14</v>
      </c>
      <c r="E46">
        <v>-523.38</v>
      </c>
      <c r="F46">
        <v>1</v>
      </c>
      <c r="G46">
        <v>100</v>
      </c>
      <c r="H46">
        <v>1</v>
      </c>
      <c r="I46">
        <v>1200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AE46">
        <v>45</v>
      </c>
      <c r="AF46">
        <v>23</v>
      </c>
      <c r="AG46" t="s">
        <v>131</v>
      </c>
      <c r="AH46" t="s">
        <v>49</v>
      </c>
      <c r="AI46" t="s">
        <v>102</v>
      </c>
      <c r="AJ46" t="s">
        <v>62</v>
      </c>
    </row>
    <row r="47" spans="1:37" x14ac:dyDescent="0.25">
      <c r="A47">
        <v>20</v>
      </c>
      <c r="B47">
        <v>360</v>
      </c>
      <c r="C47">
        <v>236.64</v>
      </c>
      <c r="D47">
        <v>236.64</v>
      </c>
      <c r="E47">
        <v>236.64</v>
      </c>
      <c r="F47">
        <v>1</v>
      </c>
      <c r="G47">
        <v>100</v>
      </c>
      <c r="H47">
        <v>1</v>
      </c>
      <c r="I47">
        <v>360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AE47">
        <v>46</v>
      </c>
      <c r="AF47">
        <v>25</v>
      </c>
      <c r="AG47" t="s">
        <v>132</v>
      </c>
      <c r="AH47" t="s">
        <v>65</v>
      </c>
      <c r="AI47" t="s">
        <v>66</v>
      </c>
      <c r="AJ47" t="s">
        <v>133</v>
      </c>
      <c r="AK47">
        <v>38</v>
      </c>
    </row>
    <row r="48" spans="1:37" x14ac:dyDescent="0.25">
      <c r="A48">
        <v>21</v>
      </c>
      <c r="B48">
        <v>665</v>
      </c>
      <c r="C48">
        <v>10.039999999999999</v>
      </c>
      <c r="D48">
        <v>326.14999999999998</v>
      </c>
      <c r="E48">
        <v>-306.07</v>
      </c>
      <c r="F48">
        <v>1</v>
      </c>
      <c r="G48">
        <v>100</v>
      </c>
      <c r="H48">
        <v>1</v>
      </c>
      <c r="I48">
        <v>665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AE48">
        <v>47</v>
      </c>
      <c r="AF48">
        <v>25</v>
      </c>
      <c r="AG48" t="s">
        <v>134</v>
      </c>
      <c r="AH48" t="s">
        <v>135</v>
      </c>
      <c r="AI48" t="s">
        <v>62</v>
      </c>
    </row>
    <row r="49" spans="1:37" x14ac:dyDescent="0.25">
      <c r="A49">
        <v>22</v>
      </c>
      <c r="B49">
        <v>401.1</v>
      </c>
      <c r="C49">
        <v>-21.48</v>
      </c>
      <c r="D49">
        <v>189.72</v>
      </c>
      <c r="E49">
        <v>-232.68</v>
      </c>
      <c r="F49">
        <v>1</v>
      </c>
      <c r="G49">
        <v>100</v>
      </c>
      <c r="H49">
        <v>1</v>
      </c>
      <c r="I49">
        <v>401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AE49">
        <v>48</v>
      </c>
      <c r="AF49">
        <v>26</v>
      </c>
      <c r="AG49" t="s">
        <v>136</v>
      </c>
      <c r="AH49" t="s">
        <v>65</v>
      </c>
      <c r="AI49" t="s">
        <v>66</v>
      </c>
      <c r="AJ49" t="s">
        <v>137</v>
      </c>
      <c r="AK49">
        <v>36</v>
      </c>
    </row>
    <row r="50" spans="1:37" x14ac:dyDescent="0.25">
      <c r="A50">
        <v>23</v>
      </c>
      <c r="B50">
        <v>3772</v>
      </c>
      <c r="C50">
        <v>100.7</v>
      </c>
      <c r="D50">
        <v>1589.67</v>
      </c>
      <c r="E50">
        <v>-1388.27</v>
      </c>
      <c r="F50">
        <v>1</v>
      </c>
      <c r="G50">
        <v>100</v>
      </c>
      <c r="H50">
        <v>1</v>
      </c>
      <c r="I50">
        <v>3801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AE50">
        <v>49</v>
      </c>
      <c r="AF50">
        <v>26</v>
      </c>
      <c r="AG50" t="s">
        <v>138</v>
      </c>
      <c r="AH50" t="s">
        <v>74</v>
      </c>
      <c r="AI50" t="s">
        <v>75</v>
      </c>
      <c r="AJ50" t="s">
        <v>76</v>
      </c>
      <c r="AK50" t="s">
        <v>62</v>
      </c>
    </row>
    <row r="51" spans="1:37" x14ac:dyDescent="0.25">
      <c r="A51">
        <v>23</v>
      </c>
      <c r="B51">
        <v>363</v>
      </c>
      <c r="C51">
        <v>-34.590000000000003</v>
      </c>
      <c r="D51">
        <v>84.81</v>
      </c>
      <c r="E51">
        <v>-153.99</v>
      </c>
      <c r="F51">
        <v>1</v>
      </c>
      <c r="G51">
        <v>100</v>
      </c>
      <c r="H51">
        <v>1</v>
      </c>
      <c r="I51">
        <v>363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AE51">
        <v>50</v>
      </c>
      <c r="AF51">
        <v>26</v>
      </c>
      <c r="AG51" t="s">
        <v>139</v>
      </c>
      <c r="AH51" t="s">
        <v>85</v>
      </c>
      <c r="AI51" t="s">
        <v>75</v>
      </c>
      <c r="AJ51" t="s">
        <v>76</v>
      </c>
      <c r="AK51" t="s">
        <v>62</v>
      </c>
    </row>
    <row r="52" spans="1:37" x14ac:dyDescent="0.25">
      <c r="A52">
        <v>23</v>
      </c>
      <c r="B52">
        <v>470</v>
      </c>
      <c r="C52">
        <v>53.16</v>
      </c>
      <c r="D52">
        <v>317.76</v>
      </c>
      <c r="E52">
        <v>-211.43</v>
      </c>
      <c r="F52">
        <v>1</v>
      </c>
      <c r="G52">
        <v>100</v>
      </c>
      <c r="H52">
        <v>1</v>
      </c>
      <c r="I52">
        <v>470.4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AE52">
        <v>51</v>
      </c>
      <c r="AF52">
        <v>26</v>
      </c>
      <c r="AG52" t="s">
        <v>140</v>
      </c>
      <c r="AH52" t="s">
        <v>135</v>
      </c>
      <c r="AI52" t="s">
        <v>62</v>
      </c>
    </row>
    <row r="53" spans="1:37" x14ac:dyDescent="0.25">
      <c r="A53">
        <v>23</v>
      </c>
      <c r="B53">
        <v>3081.01</v>
      </c>
      <c r="C53">
        <v>-30.71</v>
      </c>
      <c r="D53">
        <v>1200.81</v>
      </c>
      <c r="E53">
        <v>-1262.24</v>
      </c>
      <c r="F53">
        <v>1</v>
      </c>
      <c r="G53">
        <v>100</v>
      </c>
      <c r="H53">
        <v>1</v>
      </c>
      <c r="I53">
        <v>4431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AE53">
        <v>52</v>
      </c>
      <c r="AF53">
        <v>27</v>
      </c>
      <c r="AG53" t="s">
        <v>141</v>
      </c>
      <c r="AH53" t="s">
        <v>49</v>
      </c>
      <c r="AI53" t="s">
        <v>80</v>
      </c>
      <c r="AJ53" t="s">
        <v>62</v>
      </c>
    </row>
    <row r="54" spans="1:37" x14ac:dyDescent="0.25">
      <c r="A54">
        <v>23</v>
      </c>
      <c r="B54">
        <v>0</v>
      </c>
      <c r="C54">
        <v>0</v>
      </c>
      <c r="D54">
        <v>0</v>
      </c>
      <c r="E54">
        <v>0</v>
      </c>
      <c r="F54">
        <v>1</v>
      </c>
      <c r="G54">
        <v>100</v>
      </c>
      <c r="H54">
        <v>1</v>
      </c>
      <c r="I54">
        <v>100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AE54">
        <v>53</v>
      </c>
      <c r="AF54">
        <v>28</v>
      </c>
      <c r="AG54" t="s">
        <v>142</v>
      </c>
      <c r="AH54" t="s">
        <v>65</v>
      </c>
      <c r="AI54" t="s">
        <v>66</v>
      </c>
      <c r="AJ54" t="s">
        <v>143</v>
      </c>
      <c r="AK54">
        <v>41</v>
      </c>
    </row>
    <row r="55" spans="1:37" x14ac:dyDescent="0.25">
      <c r="A55">
        <v>25</v>
      </c>
      <c r="B55">
        <v>2123</v>
      </c>
      <c r="C55">
        <v>0.98</v>
      </c>
      <c r="D55">
        <v>949.38</v>
      </c>
      <c r="E55">
        <v>-947.42</v>
      </c>
      <c r="F55">
        <v>1</v>
      </c>
      <c r="G55">
        <v>100</v>
      </c>
      <c r="H55">
        <v>1</v>
      </c>
      <c r="I55">
        <v>2123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AE55">
        <v>54</v>
      </c>
      <c r="AF55">
        <v>28</v>
      </c>
      <c r="AG55" t="s">
        <v>144</v>
      </c>
      <c r="AH55" t="s">
        <v>68</v>
      </c>
      <c r="AI55" t="s">
        <v>66</v>
      </c>
      <c r="AJ55" t="s">
        <v>145</v>
      </c>
      <c r="AK55">
        <v>41</v>
      </c>
    </row>
    <row r="56" spans="1:37" x14ac:dyDescent="0.25">
      <c r="A56">
        <v>25</v>
      </c>
      <c r="B56">
        <v>0</v>
      </c>
      <c r="C56">
        <v>0</v>
      </c>
      <c r="D56">
        <v>0</v>
      </c>
      <c r="E56">
        <v>0</v>
      </c>
      <c r="F56">
        <v>1</v>
      </c>
      <c r="G56">
        <v>100</v>
      </c>
      <c r="H56">
        <v>1</v>
      </c>
      <c r="I56">
        <v>1245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AE56">
        <v>55</v>
      </c>
      <c r="AF56">
        <v>29</v>
      </c>
      <c r="AG56" t="s">
        <v>146</v>
      </c>
      <c r="AH56" t="s">
        <v>65</v>
      </c>
      <c r="AI56" t="s">
        <v>66</v>
      </c>
      <c r="AJ56" t="s">
        <v>147</v>
      </c>
      <c r="AK56">
        <v>43</v>
      </c>
    </row>
    <row r="57" spans="1:37" x14ac:dyDescent="0.25">
      <c r="A57">
        <v>26</v>
      </c>
      <c r="B57">
        <v>1940</v>
      </c>
      <c r="C57">
        <v>225.05</v>
      </c>
      <c r="D57">
        <v>881.44</v>
      </c>
      <c r="E57">
        <v>-431.35</v>
      </c>
      <c r="F57">
        <v>1</v>
      </c>
      <c r="G57">
        <v>100</v>
      </c>
      <c r="H57">
        <v>1</v>
      </c>
      <c r="I57">
        <v>1966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AE57">
        <v>56</v>
      </c>
      <c r="AF57">
        <v>29</v>
      </c>
      <c r="AG57" t="s">
        <v>148</v>
      </c>
      <c r="AH57" t="s">
        <v>50</v>
      </c>
      <c r="AI57" t="s">
        <v>66</v>
      </c>
      <c r="AJ57" t="s">
        <v>149</v>
      </c>
      <c r="AK57">
        <v>43</v>
      </c>
    </row>
    <row r="58" spans="1:37" x14ac:dyDescent="0.25">
      <c r="A58">
        <v>26</v>
      </c>
      <c r="B58">
        <v>1104</v>
      </c>
      <c r="C58">
        <v>44.74</v>
      </c>
      <c r="D58">
        <v>384.11</v>
      </c>
      <c r="E58">
        <v>-294.62</v>
      </c>
      <c r="F58">
        <v>1</v>
      </c>
      <c r="G58">
        <v>100</v>
      </c>
      <c r="H58">
        <v>1</v>
      </c>
      <c r="I58">
        <v>1131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AE58">
        <v>57</v>
      </c>
      <c r="AF58">
        <v>29</v>
      </c>
      <c r="AG58" t="s">
        <v>150</v>
      </c>
      <c r="AH58" t="s">
        <v>49</v>
      </c>
      <c r="AI58" t="s">
        <v>80</v>
      </c>
      <c r="AJ58" t="s">
        <v>62</v>
      </c>
    </row>
    <row r="59" spans="1:37" x14ac:dyDescent="0.25">
      <c r="A59">
        <v>26</v>
      </c>
      <c r="B59">
        <v>2465</v>
      </c>
      <c r="C59">
        <v>69.94</v>
      </c>
      <c r="D59">
        <v>1254.53</v>
      </c>
      <c r="E59">
        <v>-1114.6400000000001</v>
      </c>
      <c r="F59">
        <v>1</v>
      </c>
      <c r="G59">
        <v>100</v>
      </c>
      <c r="H59">
        <v>1</v>
      </c>
      <c r="I59">
        <v>3165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37" x14ac:dyDescent="0.25">
      <c r="A60">
        <v>26</v>
      </c>
      <c r="B60">
        <v>0</v>
      </c>
      <c r="C60">
        <v>0</v>
      </c>
      <c r="D60">
        <v>0</v>
      </c>
      <c r="E60">
        <v>0</v>
      </c>
      <c r="F60">
        <v>1</v>
      </c>
      <c r="G60">
        <v>100</v>
      </c>
      <c r="H60">
        <v>1</v>
      </c>
      <c r="I60">
        <v>1355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37" x14ac:dyDescent="0.25">
      <c r="A61">
        <v>27</v>
      </c>
      <c r="B61">
        <v>1082</v>
      </c>
      <c r="C61">
        <v>62.12</v>
      </c>
      <c r="D61">
        <v>666.03</v>
      </c>
      <c r="E61">
        <v>-541.79</v>
      </c>
      <c r="F61">
        <v>1</v>
      </c>
      <c r="G61">
        <v>100</v>
      </c>
      <c r="H61">
        <v>1</v>
      </c>
      <c r="I61">
        <v>1081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37" x14ac:dyDescent="0.25">
      <c r="A62">
        <v>27</v>
      </c>
      <c r="B62">
        <v>216</v>
      </c>
      <c r="C62">
        <v>35.5</v>
      </c>
      <c r="D62">
        <v>71</v>
      </c>
      <c r="E62">
        <v>0</v>
      </c>
      <c r="F62">
        <v>1</v>
      </c>
      <c r="G62">
        <v>100</v>
      </c>
      <c r="H62">
        <v>1</v>
      </c>
      <c r="I62">
        <v>300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37" x14ac:dyDescent="0.25">
      <c r="A63">
        <v>28</v>
      </c>
      <c r="B63">
        <v>1320</v>
      </c>
      <c r="C63">
        <v>39.06</v>
      </c>
      <c r="D63">
        <v>657.82</v>
      </c>
      <c r="E63">
        <v>-579.70000000000005</v>
      </c>
      <c r="F63">
        <v>1</v>
      </c>
      <c r="G63">
        <v>100</v>
      </c>
      <c r="H63">
        <v>1</v>
      </c>
      <c r="I63">
        <v>1320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37" x14ac:dyDescent="0.25">
      <c r="A64">
        <v>28</v>
      </c>
      <c r="B64">
        <v>208</v>
      </c>
      <c r="C64">
        <v>-5.21</v>
      </c>
      <c r="D64">
        <v>60.79</v>
      </c>
      <c r="E64">
        <v>-71.209999999999994</v>
      </c>
      <c r="F64">
        <v>1</v>
      </c>
      <c r="G64">
        <v>100</v>
      </c>
      <c r="H64">
        <v>1</v>
      </c>
      <c r="I64">
        <v>208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29</v>
      </c>
      <c r="B65">
        <v>1261</v>
      </c>
      <c r="C65">
        <v>-12.56</v>
      </c>
      <c r="D65">
        <v>455.32</v>
      </c>
      <c r="E65">
        <v>-480.43</v>
      </c>
      <c r="F65">
        <v>1</v>
      </c>
      <c r="G65">
        <v>100</v>
      </c>
      <c r="H65">
        <v>1</v>
      </c>
      <c r="I65">
        <v>1261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29</v>
      </c>
      <c r="B66">
        <v>905</v>
      </c>
      <c r="C66">
        <v>-4.34</v>
      </c>
      <c r="D66">
        <v>403.35</v>
      </c>
      <c r="E66">
        <v>-412.03</v>
      </c>
      <c r="F66">
        <v>1</v>
      </c>
      <c r="G66">
        <v>100</v>
      </c>
      <c r="H66">
        <v>1</v>
      </c>
      <c r="I66">
        <v>905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29</v>
      </c>
      <c r="B67">
        <v>0</v>
      </c>
      <c r="C67">
        <v>0</v>
      </c>
      <c r="D67">
        <v>0</v>
      </c>
      <c r="E67">
        <v>0</v>
      </c>
      <c r="F67">
        <v>1</v>
      </c>
      <c r="G67">
        <v>100</v>
      </c>
      <c r="H67">
        <v>1</v>
      </c>
      <c r="I67">
        <v>140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9DBB-6B3F-40F0-BE1B-E6A554F4C977}">
  <dimension ref="A1:G67"/>
  <sheetViews>
    <sheetView workbookViewId="0">
      <selection activeCell="I6" sqref="I6"/>
    </sheetView>
  </sheetViews>
  <sheetFormatPr defaultRowHeight="15" x14ac:dyDescent="0.25"/>
  <sheetData>
    <row r="1" spans="1:7" s="1" customFormat="1" x14ac:dyDescent="0.25">
      <c r="A1" s="1" t="s">
        <v>339</v>
      </c>
      <c r="B1" s="1" t="s">
        <v>31</v>
      </c>
      <c r="C1" s="1" t="s">
        <v>32</v>
      </c>
      <c r="D1" s="1" t="s">
        <v>331</v>
      </c>
      <c r="E1" s="1" t="s">
        <v>33</v>
      </c>
      <c r="F1" s="1" t="s">
        <v>34</v>
      </c>
      <c r="G1" s="1" t="s">
        <v>35</v>
      </c>
    </row>
    <row r="2" spans="1:7" x14ac:dyDescent="0.25">
      <c r="A2">
        <v>2</v>
      </c>
      <c r="B2">
        <v>1500</v>
      </c>
      <c r="C2">
        <v>0</v>
      </c>
      <c r="D2">
        <v>3</v>
      </c>
      <c r="E2">
        <v>0</v>
      </c>
      <c r="F2">
        <v>0.01</v>
      </c>
      <c r="G2">
        <v>0.01</v>
      </c>
    </row>
    <row r="3" spans="1:7" x14ac:dyDescent="0.25">
      <c r="A3">
        <v>2</v>
      </c>
      <c r="B3">
        <v>1500</v>
      </c>
      <c r="C3">
        <v>0</v>
      </c>
      <c r="D3">
        <v>3</v>
      </c>
      <c r="E3">
        <v>0</v>
      </c>
      <c r="F3">
        <v>4.42</v>
      </c>
      <c r="G3">
        <v>395.37</v>
      </c>
    </row>
    <row r="4" spans="1:7" x14ac:dyDescent="0.25">
      <c r="A4">
        <v>2</v>
      </c>
      <c r="B4">
        <v>1500</v>
      </c>
      <c r="C4">
        <v>0</v>
      </c>
      <c r="D4">
        <v>3</v>
      </c>
      <c r="E4">
        <v>0.33</v>
      </c>
      <c r="F4">
        <v>56.56</v>
      </c>
      <c r="G4">
        <v>86.38</v>
      </c>
    </row>
    <row r="5" spans="1:7" x14ac:dyDescent="0.25">
      <c r="A5">
        <v>2</v>
      </c>
      <c r="B5">
        <v>1500</v>
      </c>
      <c r="C5">
        <v>0</v>
      </c>
      <c r="D5">
        <v>3</v>
      </c>
      <c r="E5">
        <v>0</v>
      </c>
      <c r="F5">
        <v>0.01</v>
      </c>
      <c r="G5">
        <v>0.01</v>
      </c>
    </row>
    <row r="6" spans="1:7" x14ac:dyDescent="0.25">
      <c r="A6">
        <v>2</v>
      </c>
      <c r="B6">
        <v>1500</v>
      </c>
      <c r="C6">
        <v>0</v>
      </c>
      <c r="D6">
        <v>3</v>
      </c>
      <c r="E6">
        <v>0</v>
      </c>
      <c r="F6">
        <v>0.01</v>
      </c>
      <c r="G6">
        <v>0.01</v>
      </c>
    </row>
    <row r="7" spans="1:7" x14ac:dyDescent="0.25">
      <c r="A7">
        <v>2</v>
      </c>
      <c r="B7">
        <v>1500</v>
      </c>
      <c r="C7">
        <v>0</v>
      </c>
      <c r="D7">
        <v>3</v>
      </c>
      <c r="E7">
        <v>0</v>
      </c>
      <c r="F7">
        <v>130</v>
      </c>
      <c r="G7">
        <v>400.68</v>
      </c>
    </row>
    <row r="8" spans="1:7" x14ac:dyDescent="0.25">
      <c r="A8">
        <v>2</v>
      </c>
      <c r="B8">
        <v>1500</v>
      </c>
      <c r="C8">
        <v>0</v>
      </c>
      <c r="D8">
        <v>3</v>
      </c>
      <c r="E8">
        <v>0</v>
      </c>
      <c r="F8">
        <v>130</v>
      </c>
      <c r="G8">
        <v>400.68</v>
      </c>
    </row>
    <row r="9" spans="1:7" x14ac:dyDescent="0.25">
      <c r="A9">
        <v>2</v>
      </c>
      <c r="B9">
        <v>1500</v>
      </c>
      <c r="C9">
        <v>0</v>
      </c>
      <c r="D9">
        <v>3</v>
      </c>
      <c r="E9">
        <v>0</v>
      </c>
      <c r="F9">
        <v>0.01</v>
      </c>
      <c r="G9">
        <v>0.01</v>
      </c>
    </row>
    <row r="10" spans="1:7" x14ac:dyDescent="0.25">
      <c r="A10">
        <v>2</v>
      </c>
      <c r="B10">
        <v>1500</v>
      </c>
      <c r="C10">
        <v>0</v>
      </c>
      <c r="D10">
        <v>3</v>
      </c>
      <c r="E10">
        <v>0</v>
      </c>
      <c r="F10">
        <v>0.01</v>
      </c>
      <c r="G10">
        <v>0.01</v>
      </c>
    </row>
    <row r="11" spans="1:7" x14ac:dyDescent="0.25">
      <c r="A11">
        <v>2</v>
      </c>
      <c r="B11">
        <v>1500</v>
      </c>
      <c r="C11">
        <v>0</v>
      </c>
      <c r="D11">
        <v>3</v>
      </c>
      <c r="E11">
        <v>0</v>
      </c>
      <c r="F11">
        <v>4.42</v>
      </c>
      <c r="G11">
        <v>395.37</v>
      </c>
    </row>
    <row r="12" spans="1:7" x14ac:dyDescent="0.25">
      <c r="A12">
        <v>2</v>
      </c>
      <c r="B12">
        <v>1500</v>
      </c>
      <c r="C12">
        <v>0</v>
      </c>
      <c r="D12">
        <v>3</v>
      </c>
      <c r="E12">
        <v>0</v>
      </c>
      <c r="F12">
        <v>0.01</v>
      </c>
      <c r="G12">
        <v>0.01</v>
      </c>
    </row>
    <row r="13" spans="1:7" x14ac:dyDescent="0.25">
      <c r="A13">
        <v>2</v>
      </c>
      <c r="B13">
        <v>1500</v>
      </c>
      <c r="C13">
        <v>0</v>
      </c>
      <c r="D13">
        <v>3</v>
      </c>
      <c r="E13">
        <v>0</v>
      </c>
      <c r="F13">
        <v>0.01</v>
      </c>
      <c r="G13">
        <v>0.01</v>
      </c>
    </row>
    <row r="14" spans="1:7" x14ac:dyDescent="0.25">
      <c r="A14">
        <v>2</v>
      </c>
      <c r="B14">
        <v>1500</v>
      </c>
      <c r="C14">
        <v>0</v>
      </c>
      <c r="D14">
        <v>3</v>
      </c>
      <c r="E14">
        <v>0.33</v>
      </c>
      <c r="F14">
        <v>12.38</v>
      </c>
      <c r="G14">
        <v>382.24</v>
      </c>
    </row>
    <row r="15" spans="1:7" x14ac:dyDescent="0.25">
      <c r="A15">
        <v>2</v>
      </c>
      <c r="B15">
        <v>1500</v>
      </c>
      <c r="C15">
        <v>0</v>
      </c>
      <c r="D15">
        <v>3</v>
      </c>
      <c r="E15">
        <v>0.33</v>
      </c>
      <c r="F15">
        <v>56.56</v>
      </c>
      <c r="G15">
        <v>86.38</v>
      </c>
    </row>
    <row r="16" spans="1:7" x14ac:dyDescent="0.25">
      <c r="A16">
        <v>2</v>
      </c>
      <c r="B16">
        <v>1500</v>
      </c>
      <c r="C16">
        <v>0</v>
      </c>
      <c r="D16">
        <v>3</v>
      </c>
      <c r="E16">
        <v>0</v>
      </c>
      <c r="F16">
        <v>130</v>
      </c>
      <c r="G16">
        <v>400.68</v>
      </c>
    </row>
    <row r="17" spans="1:7" x14ac:dyDescent="0.25">
      <c r="A17">
        <v>2</v>
      </c>
      <c r="B17">
        <v>1500</v>
      </c>
      <c r="C17">
        <v>0</v>
      </c>
      <c r="D17">
        <v>3</v>
      </c>
      <c r="E17">
        <v>0</v>
      </c>
      <c r="F17">
        <v>118</v>
      </c>
      <c r="G17">
        <v>86.38</v>
      </c>
    </row>
    <row r="18" spans="1:7" x14ac:dyDescent="0.25">
      <c r="A18">
        <v>2</v>
      </c>
      <c r="B18">
        <v>1500</v>
      </c>
      <c r="C18">
        <v>0</v>
      </c>
      <c r="D18">
        <v>3</v>
      </c>
      <c r="E18">
        <v>0</v>
      </c>
      <c r="F18">
        <v>130</v>
      </c>
      <c r="G18">
        <v>400.68</v>
      </c>
    </row>
    <row r="19" spans="1:7" x14ac:dyDescent="0.25">
      <c r="A19">
        <v>2</v>
      </c>
      <c r="B19">
        <v>1500</v>
      </c>
      <c r="C19">
        <v>0</v>
      </c>
      <c r="D19">
        <v>3</v>
      </c>
      <c r="E19">
        <v>0</v>
      </c>
      <c r="F19">
        <v>0.01</v>
      </c>
      <c r="G19">
        <v>0.01</v>
      </c>
    </row>
    <row r="20" spans="1:7" x14ac:dyDescent="0.25">
      <c r="A20">
        <v>2</v>
      </c>
      <c r="B20">
        <v>1500</v>
      </c>
      <c r="C20">
        <v>0</v>
      </c>
      <c r="D20">
        <v>3</v>
      </c>
      <c r="E20">
        <v>0</v>
      </c>
      <c r="F20">
        <v>4.42</v>
      </c>
      <c r="G20">
        <v>395.37</v>
      </c>
    </row>
    <row r="21" spans="1:7" x14ac:dyDescent="0.25">
      <c r="A21">
        <v>2</v>
      </c>
      <c r="B21">
        <v>1500</v>
      </c>
      <c r="C21">
        <v>0</v>
      </c>
      <c r="D21">
        <v>3</v>
      </c>
      <c r="E21">
        <v>0</v>
      </c>
      <c r="F21">
        <v>0.01</v>
      </c>
      <c r="G21">
        <v>0.01</v>
      </c>
    </row>
    <row r="22" spans="1:7" x14ac:dyDescent="0.25">
      <c r="A22">
        <v>2</v>
      </c>
      <c r="B22">
        <v>1500</v>
      </c>
      <c r="C22">
        <v>0</v>
      </c>
      <c r="D22">
        <v>3</v>
      </c>
      <c r="E22">
        <v>0</v>
      </c>
      <c r="F22">
        <v>0.01</v>
      </c>
      <c r="G22">
        <v>0.01</v>
      </c>
    </row>
    <row r="23" spans="1:7" x14ac:dyDescent="0.25">
      <c r="A23">
        <v>2</v>
      </c>
      <c r="B23">
        <v>1500</v>
      </c>
      <c r="C23">
        <v>0</v>
      </c>
      <c r="D23">
        <v>3</v>
      </c>
      <c r="E23">
        <v>0</v>
      </c>
      <c r="F23">
        <v>118</v>
      </c>
      <c r="G23">
        <v>86.38</v>
      </c>
    </row>
    <row r="24" spans="1:7" x14ac:dyDescent="0.25">
      <c r="A24">
        <v>2</v>
      </c>
      <c r="B24">
        <v>1500</v>
      </c>
      <c r="C24">
        <v>0</v>
      </c>
      <c r="D24">
        <v>3</v>
      </c>
      <c r="E24">
        <v>0.39</v>
      </c>
      <c r="F24">
        <v>16.38</v>
      </c>
      <c r="G24">
        <v>400.68</v>
      </c>
    </row>
    <row r="25" spans="1:7" x14ac:dyDescent="0.25">
      <c r="A25">
        <v>2</v>
      </c>
      <c r="B25">
        <v>1500</v>
      </c>
      <c r="C25">
        <v>0</v>
      </c>
      <c r="D25">
        <v>3</v>
      </c>
      <c r="E25">
        <v>0</v>
      </c>
      <c r="F25">
        <v>118</v>
      </c>
      <c r="G25">
        <v>86.38</v>
      </c>
    </row>
    <row r="26" spans="1:7" x14ac:dyDescent="0.25">
      <c r="A26">
        <v>2</v>
      </c>
      <c r="B26">
        <v>1500</v>
      </c>
      <c r="C26">
        <v>0</v>
      </c>
      <c r="D26">
        <v>3</v>
      </c>
      <c r="E26">
        <v>0</v>
      </c>
      <c r="F26">
        <v>130</v>
      </c>
      <c r="G26">
        <v>400.68</v>
      </c>
    </row>
    <row r="27" spans="1:7" x14ac:dyDescent="0.25">
      <c r="A27">
        <v>2</v>
      </c>
      <c r="B27">
        <v>1500</v>
      </c>
      <c r="C27">
        <v>0</v>
      </c>
      <c r="D27">
        <v>3</v>
      </c>
      <c r="E27">
        <v>0.1</v>
      </c>
      <c r="F27">
        <v>19.38</v>
      </c>
      <c r="G27">
        <v>639.98</v>
      </c>
    </row>
    <row r="28" spans="1:7" x14ac:dyDescent="0.25">
      <c r="A28">
        <v>2</v>
      </c>
      <c r="B28">
        <v>1500</v>
      </c>
      <c r="C28">
        <v>0</v>
      </c>
      <c r="D28">
        <v>3</v>
      </c>
      <c r="E28">
        <v>0</v>
      </c>
      <c r="F28">
        <v>0.01</v>
      </c>
      <c r="G28">
        <v>0.01</v>
      </c>
    </row>
    <row r="29" spans="1:7" x14ac:dyDescent="0.25">
      <c r="A29">
        <v>2</v>
      </c>
      <c r="B29">
        <v>1500</v>
      </c>
      <c r="C29">
        <v>0</v>
      </c>
      <c r="D29">
        <v>3</v>
      </c>
      <c r="E29">
        <v>0</v>
      </c>
      <c r="F29">
        <v>118</v>
      </c>
      <c r="G29">
        <v>86.38</v>
      </c>
    </row>
    <row r="30" spans="1:7" x14ac:dyDescent="0.25">
      <c r="A30">
        <v>2</v>
      </c>
      <c r="B30">
        <v>1500</v>
      </c>
      <c r="C30">
        <v>0</v>
      </c>
      <c r="D30">
        <v>3</v>
      </c>
      <c r="E30">
        <v>0.33</v>
      </c>
      <c r="F30">
        <v>12.38</v>
      </c>
      <c r="G30">
        <v>382.24</v>
      </c>
    </row>
    <row r="31" spans="1:7" x14ac:dyDescent="0.25">
      <c r="A31">
        <v>2</v>
      </c>
      <c r="B31">
        <v>1500</v>
      </c>
      <c r="C31">
        <v>0</v>
      </c>
      <c r="D31">
        <v>3</v>
      </c>
      <c r="E31">
        <v>0</v>
      </c>
      <c r="F31">
        <v>130</v>
      </c>
      <c r="G31">
        <v>400.68</v>
      </c>
    </row>
    <row r="32" spans="1:7" x14ac:dyDescent="0.25">
      <c r="A32">
        <v>2</v>
      </c>
      <c r="B32">
        <v>1500</v>
      </c>
      <c r="C32">
        <v>0</v>
      </c>
      <c r="D32">
        <v>3</v>
      </c>
      <c r="E32">
        <v>0</v>
      </c>
      <c r="F32">
        <v>130</v>
      </c>
      <c r="G32">
        <v>400.68</v>
      </c>
    </row>
    <row r="33" spans="1:7" x14ac:dyDescent="0.25">
      <c r="A33">
        <v>2</v>
      </c>
      <c r="B33">
        <v>1500</v>
      </c>
      <c r="C33">
        <v>0</v>
      </c>
      <c r="D33">
        <v>3</v>
      </c>
      <c r="E33">
        <v>0.01</v>
      </c>
      <c r="F33">
        <v>10.3</v>
      </c>
      <c r="G33">
        <v>382.15</v>
      </c>
    </row>
    <row r="34" spans="1:7" x14ac:dyDescent="0.25">
      <c r="A34">
        <v>2</v>
      </c>
      <c r="B34">
        <v>1500</v>
      </c>
      <c r="C34">
        <v>0</v>
      </c>
      <c r="D34">
        <v>3</v>
      </c>
      <c r="E34">
        <v>0</v>
      </c>
      <c r="F34">
        <v>130</v>
      </c>
      <c r="G34">
        <v>400.68</v>
      </c>
    </row>
    <row r="35" spans="1:7" x14ac:dyDescent="0.25">
      <c r="A35">
        <v>2</v>
      </c>
      <c r="B35">
        <v>1500</v>
      </c>
      <c r="C35">
        <v>0</v>
      </c>
      <c r="D35">
        <v>3</v>
      </c>
      <c r="E35">
        <v>0</v>
      </c>
      <c r="F35">
        <v>130</v>
      </c>
      <c r="G35">
        <v>400.68</v>
      </c>
    </row>
    <row r="36" spans="1:7" x14ac:dyDescent="0.25">
      <c r="A36">
        <v>2</v>
      </c>
      <c r="B36">
        <v>1500</v>
      </c>
      <c r="C36">
        <v>0</v>
      </c>
      <c r="D36">
        <v>3</v>
      </c>
      <c r="E36">
        <v>0.33</v>
      </c>
      <c r="F36">
        <v>56.56</v>
      </c>
      <c r="G36">
        <v>86.38</v>
      </c>
    </row>
    <row r="37" spans="1:7" x14ac:dyDescent="0.25">
      <c r="A37">
        <v>2</v>
      </c>
      <c r="B37">
        <v>1500</v>
      </c>
      <c r="C37">
        <v>0</v>
      </c>
      <c r="D37">
        <v>3</v>
      </c>
      <c r="E37">
        <v>0.33</v>
      </c>
      <c r="F37">
        <v>12.38</v>
      </c>
      <c r="G37">
        <v>382.24</v>
      </c>
    </row>
    <row r="38" spans="1:7" x14ac:dyDescent="0.25">
      <c r="A38">
        <v>2</v>
      </c>
      <c r="B38">
        <v>1500</v>
      </c>
      <c r="C38">
        <v>0</v>
      </c>
      <c r="D38">
        <v>3</v>
      </c>
      <c r="E38">
        <v>0.33</v>
      </c>
      <c r="F38">
        <v>12.38</v>
      </c>
      <c r="G38">
        <v>382.24</v>
      </c>
    </row>
    <row r="39" spans="1:7" x14ac:dyDescent="0.25">
      <c r="A39">
        <v>2</v>
      </c>
      <c r="B39">
        <v>1500</v>
      </c>
      <c r="C39">
        <v>0</v>
      </c>
      <c r="D39">
        <v>3</v>
      </c>
      <c r="E39">
        <v>0</v>
      </c>
      <c r="F39">
        <v>130</v>
      </c>
      <c r="G39">
        <v>400.68</v>
      </c>
    </row>
    <row r="40" spans="1:7" x14ac:dyDescent="0.25">
      <c r="A40">
        <v>2</v>
      </c>
      <c r="B40">
        <v>1500</v>
      </c>
      <c r="C40">
        <v>0</v>
      </c>
      <c r="D40">
        <v>3</v>
      </c>
      <c r="E40">
        <v>0</v>
      </c>
      <c r="F40">
        <v>130</v>
      </c>
      <c r="G40">
        <v>400.68</v>
      </c>
    </row>
    <row r="41" spans="1:7" x14ac:dyDescent="0.25">
      <c r="A41">
        <v>2</v>
      </c>
      <c r="B41">
        <v>1500</v>
      </c>
      <c r="C41">
        <v>0</v>
      </c>
      <c r="D41">
        <v>3</v>
      </c>
      <c r="E41">
        <v>0.33</v>
      </c>
      <c r="F41">
        <v>12.38</v>
      </c>
      <c r="G41">
        <v>382.24</v>
      </c>
    </row>
    <row r="42" spans="1:7" x14ac:dyDescent="0.25">
      <c r="A42">
        <v>2</v>
      </c>
      <c r="B42">
        <v>1500</v>
      </c>
      <c r="C42">
        <v>0</v>
      </c>
      <c r="D42">
        <v>3</v>
      </c>
      <c r="E42">
        <v>0.33</v>
      </c>
      <c r="F42">
        <v>12.38</v>
      </c>
      <c r="G42">
        <v>382.24</v>
      </c>
    </row>
    <row r="43" spans="1:7" x14ac:dyDescent="0.25">
      <c r="A43">
        <v>2</v>
      </c>
      <c r="B43">
        <v>1500</v>
      </c>
      <c r="C43">
        <v>0</v>
      </c>
      <c r="D43">
        <v>3</v>
      </c>
      <c r="E43">
        <v>0</v>
      </c>
      <c r="F43">
        <v>130</v>
      </c>
      <c r="G43">
        <v>400.68</v>
      </c>
    </row>
    <row r="44" spans="1:7" x14ac:dyDescent="0.25">
      <c r="A44">
        <v>2</v>
      </c>
      <c r="B44">
        <v>1500</v>
      </c>
      <c r="C44">
        <v>0</v>
      </c>
      <c r="D44">
        <v>3</v>
      </c>
      <c r="E44">
        <v>0</v>
      </c>
      <c r="F44">
        <v>130</v>
      </c>
      <c r="G44">
        <v>400.68</v>
      </c>
    </row>
    <row r="45" spans="1:7" x14ac:dyDescent="0.25">
      <c r="A45">
        <v>2</v>
      </c>
      <c r="B45">
        <v>1500</v>
      </c>
      <c r="C45">
        <v>0</v>
      </c>
      <c r="D45">
        <v>3</v>
      </c>
      <c r="E45">
        <v>0</v>
      </c>
      <c r="F45">
        <v>0.01</v>
      </c>
      <c r="G45">
        <v>0.01</v>
      </c>
    </row>
    <row r="46" spans="1:7" x14ac:dyDescent="0.25">
      <c r="A46">
        <v>2</v>
      </c>
      <c r="B46">
        <v>1500</v>
      </c>
      <c r="C46">
        <v>0</v>
      </c>
      <c r="D46">
        <v>3</v>
      </c>
      <c r="E46">
        <v>0.01</v>
      </c>
      <c r="F46">
        <v>10.3</v>
      </c>
      <c r="G46">
        <v>392.15</v>
      </c>
    </row>
    <row r="47" spans="1:7" x14ac:dyDescent="0.25">
      <c r="A47">
        <v>2</v>
      </c>
      <c r="B47">
        <v>1500</v>
      </c>
      <c r="C47">
        <v>0</v>
      </c>
      <c r="D47">
        <v>3</v>
      </c>
      <c r="E47">
        <v>0</v>
      </c>
      <c r="F47">
        <v>0.01</v>
      </c>
      <c r="G47">
        <v>0.01</v>
      </c>
    </row>
    <row r="48" spans="1:7" x14ac:dyDescent="0.25">
      <c r="A48">
        <v>2</v>
      </c>
      <c r="B48">
        <v>1500</v>
      </c>
      <c r="C48">
        <v>0</v>
      </c>
      <c r="D48">
        <v>3</v>
      </c>
      <c r="E48">
        <v>0</v>
      </c>
      <c r="F48">
        <v>130</v>
      </c>
      <c r="G48">
        <v>400.68</v>
      </c>
    </row>
    <row r="49" spans="1:7" x14ac:dyDescent="0.25">
      <c r="A49">
        <v>2</v>
      </c>
      <c r="B49">
        <v>1500</v>
      </c>
      <c r="C49">
        <v>0</v>
      </c>
      <c r="D49">
        <v>3</v>
      </c>
      <c r="E49">
        <v>0</v>
      </c>
      <c r="F49">
        <v>130</v>
      </c>
      <c r="G49">
        <v>400.68</v>
      </c>
    </row>
    <row r="50" spans="1:7" x14ac:dyDescent="0.25">
      <c r="A50">
        <v>2</v>
      </c>
      <c r="B50">
        <v>1500</v>
      </c>
      <c r="C50">
        <v>0</v>
      </c>
      <c r="D50">
        <v>3</v>
      </c>
      <c r="E50">
        <v>0.33</v>
      </c>
      <c r="F50">
        <v>12.38</v>
      </c>
      <c r="G50">
        <v>382.24</v>
      </c>
    </row>
    <row r="51" spans="1:7" x14ac:dyDescent="0.25">
      <c r="A51">
        <v>2</v>
      </c>
      <c r="B51">
        <v>1500</v>
      </c>
      <c r="C51">
        <v>0</v>
      </c>
      <c r="D51">
        <v>3</v>
      </c>
      <c r="E51">
        <v>0.1</v>
      </c>
      <c r="F51">
        <v>19.38</v>
      </c>
      <c r="G51">
        <v>639.98</v>
      </c>
    </row>
    <row r="52" spans="1:7" x14ac:dyDescent="0.25">
      <c r="A52">
        <v>2</v>
      </c>
      <c r="B52">
        <v>1500</v>
      </c>
      <c r="C52">
        <v>0</v>
      </c>
      <c r="D52">
        <v>3</v>
      </c>
      <c r="E52">
        <v>0.01</v>
      </c>
      <c r="F52">
        <v>10.3</v>
      </c>
      <c r="G52">
        <v>382.15</v>
      </c>
    </row>
    <row r="53" spans="1:7" x14ac:dyDescent="0.25">
      <c r="A53">
        <v>2</v>
      </c>
      <c r="B53">
        <v>1500</v>
      </c>
      <c r="C53">
        <v>0</v>
      </c>
      <c r="D53">
        <v>3</v>
      </c>
      <c r="E53">
        <v>0</v>
      </c>
      <c r="F53">
        <v>130</v>
      </c>
      <c r="G53">
        <v>400.68</v>
      </c>
    </row>
    <row r="54" spans="1:7" x14ac:dyDescent="0.25">
      <c r="A54">
        <v>2</v>
      </c>
      <c r="B54">
        <v>1500</v>
      </c>
      <c r="C54">
        <v>0</v>
      </c>
      <c r="D54">
        <v>3</v>
      </c>
      <c r="E54">
        <v>0</v>
      </c>
      <c r="F54">
        <v>130</v>
      </c>
      <c r="G54">
        <v>650</v>
      </c>
    </row>
    <row r="55" spans="1:7" x14ac:dyDescent="0.25">
      <c r="A55">
        <v>2</v>
      </c>
      <c r="B55">
        <v>1500</v>
      </c>
      <c r="C55">
        <v>0</v>
      </c>
      <c r="D55">
        <v>3</v>
      </c>
      <c r="E55">
        <v>0</v>
      </c>
      <c r="F55">
        <v>130</v>
      </c>
      <c r="G55">
        <v>400.68</v>
      </c>
    </row>
    <row r="56" spans="1:7" x14ac:dyDescent="0.25">
      <c r="A56">
        <v>2</v>
      </c>
      <c r="B56">
        <v>1500</v>
      </c>
      <c r="C56">
        <v>0</v>
      </c>
      <c r="D56">
        <v>3</v>
      </c>
      <c r="E56">
        <v>0.33</v>
      </c>
      <c r="F56">
        <v>11.84</v>
      </c>
      <c r="G56">
        <v>665.11</v>
      </c>
    </row>
    <row r="57" spans="1:7" x14ac:dyDescent="0.25">
      <c r="A57">
        <v>2</v>
      </c>
      <c r="B57">
        <v>1500</v>
      </c>
      <c r="C57">
        <v>0</v>
      </c>
      <c r="D57">
        <v>3</v>
      </c>
      <c r="E57">
        <v>0.33</v>
      </c>
      <c r="F57">
        <v>12.38</v>
      </c>
      <c r="G57">
        <v>382.24</v>
      </c>
    </row>
    <row r="58" spans="1:7" x14ac:dyDescent="0.25">
      <c r="A58">
        <v>2</v>
      </c>
      <c r="B58">
        <v>1500</v>
      </c>
      <c r="C58">
        <v>0</v>
      </c>
      <c r="D58">
        <v>3</v>
      </c>
      <c r="E58">
        <v>0.39</v>
      </c>
      <c r="F58">
        <v>16.38</v>
      </c>
      <c r="G58">
        <v>400.68</v>
      </c>
    </row>
    <row r="59" spans="1:7" x14ac:dyDescent="0.25">
      <c r="A59">
        <v>2</v>
      </c>
      <c r="B59">
        <v>1500</v>
      </c>
      <c r="C59">
        <v>0</v>
      </c>
      <c r="D59">
        <v>3</v>
      </c>
      <c r="E59">
        <v>0</v>
      </c>
      <c r="F59">
        <v>130</v>
      </c>
      <c r="G59">
        <v>400.68</v>
      </c>
    </row>
    <row r="60" spans="1:7" x14ac:dyDescent="0.25">
      <c r="A60">
        <v>2</v>
      </c>
      <c r="B60">
        <v>1500</v>
      </c>
      <c r="C60">
        <v>0</v>
      </c>
      <c r="D60">
        <v>3</v>
      </c>
      <c r="E60">
        <v>0.33</v>
      </c>
      <c r="F60">
        <v>11.84</v>
      </c>
      <c r="G60">
        <v>665.11</v>
      </c>
    </row>
    <row r="61" spans="1:7" x14ac:dyDescent="0.25">
      <c r="A61">
        <v>2</v>
      </c>
      <c r="B61">
        <v>1500</v>
      </c>
      <c r="C61">
        <v>0</v>
      </c>
      <c r="D61">
        <v>3</v>
      </c>
      <c r="E61">
        <v>0</v>
      </c>
      <c r="F61">
        <v>118</v>
      </c>
      <c r="G61">
        <v>86.38</v>
      </c>
    </row>
    <row r="62" spans="1:7" x14ac:dyDescent="0.25">
      <c r="A62">
        <v>2</v>
      </c>
      <c r="B62">
        <v>1500</v>
      </c>
      <c r="C62">
        <v>0</v>
      </c>
      <c r="D62">
        <v>3</v>
      </c>
      <c r="E62">
        <v>0</v>
      </c>
      <c r="F62">
        <v>0.01</v>
      </c>
      <c r="G62">
        <v>0.01</v>
      </c>
    </row>
    <row r="63" spans="1:7" x14ac:dyDescent="0.25">
      <c r="A63">
        <v>2</v>
      </c>
      <c r="B63">
        <v>1500</v>
      </c>
      <c r="C63">
        <v>0</v>
      </c>
      <c r="D63">
        <v>3</v>
      </c>
      <c r="E63">
        <v>0</v>
      </c>
      <c r="F63">
        <v>130</v>
      </c>
      <c r="G63">
        <v>400.68</v>
      </c>
    </row>
    <row r="64" spans="1:7" x14ac:dyDescent="0.25">
      <c r="A64">
        <v>2</v>
      </c>
      <c r="B64">
        <v>1500</v>
      </c>
      <c r="C64">
        <v>0</v>
      </c>
      <c r="D64">
        <v>3</v>
      </c>
      <c r="E64">
        <v>0</v>
      </c>
      <c r="F64">
        <v>130</v>
      </c>
      <c r="G64">
        <v>400.68</v>
      </c>
    </row>
    <row r="65" spans="1:7" x14ac:dyDescent="0.25">
      <c r="A65">
        <v>2</v>
      </c>
      <c r="B65">
        <v>1500</v>
      </c>
      <c r="C65">
        <v>0</v>
      </c>
      <c r="D65">
        <v>3</v>
      </c>
      <c r="E65">
        <v>0</v>
      </c>
      <c r="F65">
        <v>118</v>
      </c>
      <c r="G65">
        <v>86.38</v>
      </c>
    </row>
    <row r="66" spans="1:7" x14ac:dyDescent="0.25">
      <c r="A66">
        <v>2</v>
      </c>
      <c r="B66">
        <v>1500</v>
      </c>
      <c r="C66">
        <v>0</v>
      </c>
      <c r="D66">
        <v>3</v>
      </c>
      <c r="E66">
        <v>0</v>
      </c>
      <c r="F66">
        <v>130</v>
      </c>
      <c r="G66">
        <v>400.68</v>
      </c>
    </row>
    <row r="67" spans="1:7" x14ac:dyDescent="0.25">
      <c r="A67">
        <v>2</v>
      </c>
      <c r="B67">
        <v>1500</v>
      </c>
      <c r="C67">
        <v>0</v>
      </c>
      <c r="D67">
        <v>3</v>
      </c>
      <c r="E67">
        <v>0</v>
      </c>
      <c r="F67">
        <v>130</v>
      </c>
      <c r="G67">
        <v>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137F-6BFE-41AE-959B-3472E3F8AF06}">
  <dimension ref="A1:V81"/>
  <sheetViews>
    <sheetView tabSelected="1" topLeftCell="A46" workbookViewId="0">
      <selection activeCell="E2" sqref="E2:E79"/>
    </sheetView>
  </sheetViews>
  <sheetFormatPr defaultRowHeight="15" x14ac:dyDescent="0.25"/>
  <cols>
    <col min="2" max="2" width="8.5703125" bestFit="1" customWidth="1"/>
    <col min="3" max="3" width="13.28515625" bestFit="1" customWidth="1"/>
    <col min="7" max="7" width="18.85546875" customWidth="1"/>
    <col min="8" max="8" width="12.28515625" bestFit="1" customWidth="1"/>
  </cols>
  <sheetData>
    <row r="1" spans="1:22" x14ac:dyDescent="0.25">
      <c r="A1" s="14" t="s">
        <v>0</v>
      </c>
      <c r="B1" s="14" t="s">
        <v>340</v>
      </c>
      <c r="C1" s="14" t="s">
        <v>341</v>
      </c>
      <c r="D1" s="14" t="s">
        <v>342</v>
      </c>
      <c r="E1" s="14" t="s">
        <v>371</v>
      </c>
      <c r="F1" s="14" t="s">
        <v>372</v>
      </c>
      <c r="G1" s="14" t="s">
        <v>343</v>
      </c>
      <c r="H1" s="14" t="s">
        <v>344</v>
      </c>
      <c r="I1" s="14" t="s">
        <v>345</v>
      </c>
      <c r="N1" s="1" t="s">
        <v>151</v>
      </c>
      <c r="O1" s="1"/>
      <c r="P1" s="1"/>
    </row>
    <row r="2" spans="1:22" x14ac:dyDescent="0.25">
      <c r="A2">
        <v>1</v>
      </c>
      <c r="B2">
        <v>3</v>
      </c>
      <c r="C2">
        <v>0</v>
      </c>
      <c r="D2">
        <v>65</v>
      </c>
      <c r="E2">
        <v>40</v>
      </c>
      <c r="F2">
        <v>80</v>
      </c>
      <c r="G2" t="s">
        <v>170</v>
      </c>
      <c r="H2">
        <v>57.558767562223899</v>
      </c>
      <c r="I2">
        <v>-1.8376563026253301</v>
      </c>
      <c r="N2" s="1" t="s">
        <v>152</v>
      </c>
      <c r="O2" s="1" t="s">
        <v>153</v>
      </c>
      <c r="P2" s="1" t="s">
        <v>154</v>
      </c>
    </row>
    <row r="3" spans="1:22" x14ac:dyDescent="0.25">
      <c r="A3">
        <v>2</v>
      </c>
      <c r="B3">
        <v>3</v>
      </c>
      <c r="C3">
        <v>0</v>
      </c>
      <c r="D3">
        <v>65</v>
      </c>
      <c r="E3">
        <v>40</v>
      </c>
      <c r="F3">
        <v>80</v>
      </c>
      <c r="G3" t="s">
        <v>171</v>
      </c>
      <c r="H3">
        <v>57.149874248879698</v>
      </c>
      <c r="I3">
        <v>-2.09653425982563</v>
      </c>
      <c r="N3">
        <v>1</v>
      </c>
      <c r="O3">
        <v>6.5</v>
      </c>
      <c r="P3" t="s">
        <v>155</v>
      </c>
      <c r="Q3">
        <v>6</v>
      </c>
      <c r="R3">
        <v>0</v>
      </c>
      <c r="V3">
        <f>O3*10</f>
        <v>65</v>
      </c>
    </row>
    <row r="4" spans="1:22" x14ac:dyDescent="0.25">
      <c r="A4">
        <v>3</v>
      </c>
      <c r="B4">
        <v>2</v>
      </c>
      <c r="C4">
        <v>0.55000000000000004</v>
      </c>
      <c r="D4">
        <v>63.5</v>
      </c>
      <c r="E4">
        <v>40</v>
      </c>
      <c r="F4">
        <v>80</v>
      </c>
      <c r="G4" t="s">
        <v>171</v>
      </c>
      <c r="H4">
        <v>57.149874248879698</v>
      </c>
      <c r="I4">
        <v>-2.09653425982563</v>
      </c>
      <c r="N4">
        <v>2</v>
      </c>
      <c r="O4">
        <v>6.5</v>
      </c>
      <c r="P4" t="s">
        <v>155</v>
      </c>
      <c r="Q4">
        <v>6</v>
      </c>
      <c r="R4">
        <v>0</v>
      </c>
      <c r="V4">
        <f t="shared" ref="V4:V67" si="0">O4*10</f>
        <v>65</v>
      </c>
    </row>
    <row r="5" spans="1:22" x14ac:dyDescent="0.25">
      <c r="A5">
        <v>4</v>
      </c>
      <c r="B5">
        <v>3</v>
      </c>
      <c r="C5">
        <v>0</v>
      </c>
      <c r="D5">
        <v>65</v>
      </c>
      <c r="E5">
        <v>40</v>
      </c>
      <c r="F5">
        <v>80</v>
      </c>
      <c r="G5" t="s">
        <v>173</v>
      </c>
      <c r="H5">
        <v>55.902087490695997</v>
      </c>
      <c r="I5">
        <v>-3.6448631317006899</v>
      </c>
      <c r="N5">
        <v>3</v>
      </c>
      <c r="O5">
        <v>6.35</v>
      </c>
      <c r="P5" t="s">
        <v>155</v>
      </c>
      <c r="Q5">
        <v>6</v>
      </c>
      <c r="R5">
        <v>0.55000000000000004</v>
      </c>
      <c r="V5">
        <f t="shared" si="0"/>
        <v>63.5</v>
      </c>
    </row>
    <row r="6" spans="1:22" x14ac:dyDescent="0.25">
      <c r="A6">
        <v>5</v>
      </c>
      <c r="B6">
        <v>2</v>
      </c>
      <c r="C6">
        <v>2.0499999999999998</v>
      </c>
      <c r="D6">
        <v>52.5</v>
      </c>
      <c r="E6">
        <v>40</v>
      </c>
      <c r="F6">
        <v>80</v>
      </c>
      <c r="G6" t="s">
        <v>173</v>
      </c>
      <c r="H6">
        <v>55.902087490695997</v>
      </c>
      <c r="I6">
        <v>-3.6448631317006899</v>
      </c>
      <c r="N6">
        <v>4</v>
      </c>
      <c r="O6">
        <v>6.5</v>
      </c>
      <c r="P6" t="s">
        <v>155</v>
      </c>
      <c r="Q6">
        <v>6</v>
      </c>
      <c r="R6">
        <v>0</v>
      </c>
      <c r="V6">
        <f t="shared" si="0"/>
        <v>65</v>
      </c>
    </row>
    <row r="7" spans="1:22" x14ac:dyDescent="0.25">
      <c r="A7">
        <v>6</v>
      </c>
      <c r="B7">
        <v>3</v>
      </c>
      <c r="C7">
        <v>0</v>
      </c>
      <c r="D7">
        <v>65</v>
      </c>
      <c r="E7">
        <v>40</v>
      </c>
      <c r="F7">
        <v>80</v>
      </c>
      <c r="G7" t="s">
        <v>177</v>
      </c>
      <c r="H7">
        <v>55.545600027830197</v>
      </c>
      <c r="I7">
        <v>-2.0128365809098998</v>
      </c>
      <c r="N7">
        <v>5</v>
      </c>
      <c r="O7">
        <v>5.25</v>
      </c>
      <c r="P7" t="s">
        <v>155</v>
      </c>
      <c r="Q7">
        <v>6</v>
      </c>
      <c r="R7">
        <v>2.0499999999999998</v>
      </c>
      <c r="V7">
        <f t="shared" si="0"/>
        <v>52.5</v>
      </c>
    </row>
    <row r="8" spans="1:22" x14ac:dyDescent="0.25">
      <c r="A8">
        <v>7</v>
      </c>
      <c r="B8">
        <v>2</v>
      </c>
      <c r="C8">
        <v>0.32</v>
      </c>
      <c r="D8">
        <v>63.2</v>
      </c>
      <c r="E8">
        <v>40</v>
      </c>
      <c r="F8">
        <v>80</v>
      </c>
      <c r="G8" t="s">
        <v>177</v>
      </c>
      <c r="H8">
        <v>55.545600027830197</v>
      </c>
      <c r="I8">
        <v>-2.0128365809098998</v>
      </c>
      <c r="N8">
        <v>6</v>
      </c>
      <c r="O8">
        <v>6.5</v>
      </c>
      <c r="P8" t="s">
        <v>155</v>
      </c>
      <c r="Q8">
        <v>6</v>
      </c>
      <c r="R8">
        <v>0</v>
      </c>
      <c r="V8">
        <f t="shared" si="0"/>
        <v>65</v>
      </c>
    </row>
    <row r="9" spans="1:22" x14ac:dyDescent="0.25">
      <c r="A9">
        <v>8</v>
      </c>
      <c r="B9">
        <v>3</v>
      </c>
      <c r="C9">
        <v>0</v>
      </c>
      <c r="D9">
        <v>62.800000000000004</v>
      </c>
      <c r="E9">
        <v>40</v>
      </c>
      <c r="F9">
        <v>80</v>
      </c>
      <c r="G9" t="s">
        <v>160</v>
      </c>
      <c r="H9">
        <v>54.582101250524701</v>
      </c>
      <c r="I9">
        <v>-1.2134888709429199</v>
      </c>
      <c r="N9">
        <v>7</v>
      </c>
      <c r="O9">
        <v>6.32</v>
      </c>
      <c r="P9" t="s">
        <v>155</v>
      </c>
      <c r="Q9">
        <v>6</v>
      </c>
      <c r="R9">
        <v>0.32</v>
      </c>
      <c r="V9">
        <f t="shared" si="0"/>
        <v>63.2</v>
      </c>
    </row>
    <row r="10" spans="1:22" x14ac:dyDescent="0.25">
      <c r="A10">
        <v>9</v>
      </c>
      <c r="B10">
        <v>3</v>
      </c>
      <c r="C10">
        <v>0</v>
      </c>
      <c r="D10">
        <v>65</v>
      </c>
      <c r="E10">
        <v>40</v>
      </c>
      <c r="F10">
        <v>80</v>
      </c>
      <c r="G10" t="s">
        <v>174</v>
      </c>
      <c r="H10">
        <v>54.664195066774397</v>
      </c>
      <c r="I10">
        <v>-1.6784204132799101</v>
      </c>
      <c r="N10">
        <v>8</v>
      </c>
      <c r="O10">
        <v>6.28</v>
      </c>
      <c r="P10" t="s">
        <v>155</v>
      </c>
      <c r="Q10">
        <v>6</v>
      </c>
      <c r="R10">
        <v>0</v>
      </c>
      <c r="V10">
        <f t="shared" si="0"/>
        <v>62.800000000000004</v>
      </c>
    </row>
    <row r="11" spans="1:22" x14ac:dyDescent="0.25">
      <c r="A11">
        <v>10</v>
      </c>
      <c r="B11">
        <v>2</v>
      </c>
      <c r="C11">
        <v>2.66</v>
      </c>
      <c r="D11">
        <v>62.199999999999996</v>
      </c>
      <c r="E11">
        <v>40</v>
      </c>
      <c r="F11">
        <v>80</v>
      </c>
      <c r="G11" t="s">
        <v>174</v>
      </c>
      <c r="H11">
        <v>54.664195066774397</v>
      </c>
      <c r="I11">
        <v>-1.6784204132799101</v>
      </c>
      <c r="N11">
        <v>9</v>
      </c>
      <c r="O11">
        <v>6.5</v>
      </c>
      <c r="P11" t="s">
        <v>155</v>
      </c>
      <c r="Q11">
        <v>6</v>
      </c>
      <c r="R11">
        <v>0</v>
      </c>
      <c r="V11">
        <f t="shared" si="0"/>
        <v>65</v>
      </c>
    </row>
    <row r="12" spans="1:22" x14ac:dyDescent="0.25">
      <c r="A12">
        <v>11</v>
      </c>
      <c r="B12">
        <v>3</v>
      </c>
      <c r="C12">
        <v>0</v>
      </c>
      <c r="D12">
        <v>65</v>
      </c>
      <c r="E12">
        <v>40</v>
      </c>
      <c r="F12">
        <v>80</v>
      </c>
      <c r="G12" t="s">
        <v>178</v>
      </c>
      <c r="H12" s="4">
        <v>55.364083999999998</v>
      </c>
      <c r="I12">
        <v>-3.486354</v>
      </c>
      <c r="N12">
        <v>10</v>
      </c>
      <c r="O12">
        <v>6.22</v>
      </c>
      <c r="P12" t="s">
        <v>155</v>
      </c>
      <c r="Q12">
        <v>6</v>
      </c>
      <c r="R12">
        <v>2.66</v>
      </c>
      <c r="V12">
        <f t="shared" si="0"/>
        <v>62.199999999999996</v>
      </c>
    </row>
    <row r="13" spans="1:22" x14ac:dyDescent="0.25">
      <c r="A13">
        <v>12</v>
      </c>
      <c r="B13">
        <v>2</v>
      </c>
      <c r="C13">
        <v>0.17</v>
      </c>
      <c r="D13">
        <v>59.6</v>
      </c>
      <c r="E13">
        <v>40</v>
      </c>
      <c r="F13">
        <v>80</v>
      </c>
      <c r="G13" t="s">
        <v>178</v>
      </c>
      <c r="H13" s="4">
        <v>55.364083999999998</v>
      </c>
      <c r="I13">
        <v>-3.486354</v>
      </c>
      <c r="N13">
        <v>11</v>
      </c>
      <c r="O13">
        <v>6.5</v>
      </c>
      <c r="P13" t="s">
        <v>155</v>
      </c>
      <c r="Q13">
        <v>6</v>
      </c>
      <c r="R13">
        <v>0</v>
      </c>
      <c r="V13">
        <f t="shared" si="0"/>
        <v>65</v>
      </c>
    </row>
    <row r="14" spans="1:22" x14ac:dyDescent="0.25">
      <c r="A14">
        <v>13</v>
      </c>
      <c r="B14">
        <v>2</v>
      </c>
      <c r="C14">
        <v>1.0900000000000001</v>
      </c>
      <c r="D14">
        <v>62.400000000000006</v>
      </c>
      <c r="E14">
        <v>40</v>
      </c>
      <c r="F14">
        <v>80</v>
      </c>
      <c r="G14" t="s">
        <v>175</v>
      </c>
      <c r="H14">
        <v>55.009679622843102</v>
      </c>
      <c r="I14">
        <v>-2.9717726199086001</v>
      </c>
      <c r="N14">
        <v>12</v>
      </c>
      <c r="O14">
        <v>5.96</v>
      </c>
      <c r="P14" t="s">
        <v>155</v>
      </c>
      <c r="Q14">
        <v>6</v>
      </c>
      <c r="R14">
        <v>0.17</v>
      </c>
      <c r="V14">
        <f t="shared" si="0"/>
        <v>59.6</v>
      </c>
    </row>
    <row r="15" spans="1:22" x14ac:dyDescent="0.25">
      <c r="A15">
        <v>14</v>
      </c>
      <c r="B15">
        <v>3</v>
      </c>
      <c r="C15">
        <v>0</v>
      </c>
      <c r="D15">
        <v>61.1</v>
      </c>
      <c r="E15">
        <v>40</v>
      </c>
      <c r="F15">
        <v>80</v>
      </c>
      <c r="G15" t="s">
        <v>163</v>
      </c>
      <c r="H15">
        <v>54.111588748305998</v>
      </c>
      <c r="I15">
        <v>-3.2256976009907299</v>
      </c>
      <c r="N15">
        <v>13</v>
      </c>
      <c r="O15">
        <v>6.24</v>
      </c>
      <c r="P15" t="s">
        <v>155</v>
      </c>
      <c r="Q15">
        <v>6</v>
      </c>
      <c r="R15">
        <v>1.0900000000000001</v>
      </c>
      <c r="V15">
        <f t="shared" si="0"/>
        <v>62.400000000000006</v>
      </c>
    </row>
    <row r="16" spans="1:22" x14ac:dyDescent="0.25">
      <c r="A16">
        <v>15</v>
      </c>
      <c r="B16">
        <v>3</v>
      </c>
      <c r="C16">
        <v>0</v>
      </c>
      <c r="D16">
        <v>65</v>
      </c>
      <c r="E16">
        <v>40</v>
      </c>
      <c r="F16">
        <v>80</v>
      </c>
      <c r="G16" t="s">
        <v>176</v>
      </c>
      <c r="H16">
        <v>54.225591245952401</v>
      </c>
      <c r="I16">
        <v>-2.68457051208118</v>
      </c>
      <c r="N16">
        <v>14</v>
      </c>
      <c r="O16">
        <v>6.11</v>
      </c>
      <c r="P16" t="s">
        <v>155</v>
      </c>
      <c r="Q16">
        <v>6</v>
      </c>
      <c r="R16">
        <v>0</v>
      </c>
      <c r="V16">
        <f t="shared" si="0"/>
        <v>61.1</v>
      </c>
    </row>
    <row r="17" spans="1:22" x14ac:dyDescent="0.25">
      <c r="A17">
        <v>16</v>
      </c>
      <c r="B17">
        <v>2</v>
      </c>
      <c r="C17">
        <v>0.89</v>
      </c>
      <c r="D17">
        <v>57.9</v>
      </c>
      <c r="E17">
        <v>40</v>
      </c>
      <c r="F17">
        <v>80</v>
      </c>
      <c r="G17" t="s">
        <v>176</v>
      </c>
      <c r="H17">
        <v>54.225591245952401</v>
      </c>
      <c r="I17">
        <v>-2.68457051208118</v>
      </c>
      <c r="N17">
        <v>15</v>
      </c>
      <c r="O17">
        <v>6.5</v>
      </c>
      <c r="P17" t="s">
        <v>155</v>
      </c>
      <c r="Q17">
        <v>6</v>
      </c>
      <c r="R17">
        <v>0</v>
      </c>
      <c r="V17">
        <f t="shared" si="0"/>
        <v>65</v>
      </c>
    </row>
    <row r="18" spans="1:22" x14ac:dyDescent="0.25">
      <c r="A18">
        <v>17</v>
      </c>
      <c r="B18">
        <v>2</v>
      </c>
      <c r="C18">
        <v>4.99</v>
      </c>
      <c r="D18">
        <v>62.699999999999996</v>
      </c>
      <c r="E18">
        <v>40</v>
      </c>
      <c r="F18">
        <v>80</v>
      </c>
      <c r="G18" t="s">
        <v>179</v>
      </c>
      <c r="H18">
        <v>53.744311620026501</v>
      </c>
      <c r="I18">
        <v>-0.91467023281618498</v>
      </c>
      <c r="N18">
        <v>16</v>
      </c>
      <c r="O18">
        <v>5.79</v>
      </c>
      <c r="P18" t="s">
        <v>155</v>
      </c>
      <c r="Q18">
        <v>6</v>
      </c>
      <c r="R18">
        <v>0.89</v>
      </c>
      <c r="V18">
        <f t="shared" si="0"/>
        <v>57.9</v>
      </c>
    </row>
    <row r="19" spans="1:22" x14ac:dyDescent="0.25">
      <c r="A19">
        <v>18</v>
      </c>
      <c r="B19">
        <v>3</v>
      </c>
      <c r="C19">
        <v>0</v>
      </c>
      <c r="D19">
        <v>62.699999999999996</v>
      </c>
      <c r="E19">
        <v>40</v>
      </c>
      <c r="F19">
        <v>80</v>
      </c>
      <c r="G19" t="s">
        <v>166</v>
      </c>
      <c r="H19">
        <v>53.6575522118547</v>
      </c>
      <c r="I19">
        <v>0.117630218929007</v>
      </c>
      <c r="N19">
        <v>17</v>
      </c>
      <c r="O19">
        <v>6.27</v>
      </c>
      <c r="P19" t="s">
        <v>155</v>
      </c>
      <c r="Q19">
        <v>6</v>
      </c>
      <c r="R19">
        <v>4.99</v>
      </c>
      <c r="V19">
        <f t="shared" si="0"/>
        <v>62.699999999999996</v>
      </c>
    </row>
    <row r="20" spans="1:22" x14ac:dyDescent="0.25">
      <c r="A20">
        <v>19</v>
      </c>
      <c r="B20">
        <v>2</v>
      </c>
      <c r="C20">
        <v>1.22</v>
      </c>
      <c r="D20">
        <v>62.699999999999996</v>
      </c>
      <c r="E20">
        <v>40</v>
      </c>
      <c r="F20">
        <v>80</v>
      </c>
      <c r="G20" t="s">
        <v>180</v>
      </c>
      <c r="H20">
        <v>53.719088513186698</v>
      </c>
      <c r="I20">
        <v>-0.23092616672539301</v>
      </c>
      <c r="N20">
        <v>18</v>
      </c>
      <c r="O20">
        <v>6.27</v>
      </c>
      <c r="P20" t="s">
        <v>155</v>
      </c>
      <c r="Q20">
        <v>6</v>
      </c>
      <c r="R20">
        <v>0</v>
      </c>
      <c r="V20">
        <f t="shared" si="0"/>
        <v>62.699999999999996</v>
      </c>
    </row>
    <row r="21" spans="1:22" x14ac:dyDescent="0.25">
      <c r="A21">
        <v>20</v>
      </c>
      <c r="B21">
        <v>3</v>
      </c>
      <c r="C21">
        <v>0</v>
      </c>
      <c r="D21">
        <v>65</v>
      </c>
      <c r="E21">
        <v>40</v>
      </c>
      <c r="F21">
        <v>80</v>
      </c>
      <c r="G21" t="s">
        <v>181</v>
      </c>
      <c r="H21">
        <v>53.437281900376902</v>
      </c>
      <c r="I21">
        <v>-0.59058898957399797</v>
      </c>
      <c r="N21">
        <v>19</v>
      </c>
      <c r="O21">
        <v>6.27</v>
      </c>
      <c r="P21" t="s">
        <v>155</v>
      </c>
      <c r="Q21">
        <v>6</v>
      </c>
      <c r="R21">
        <v>1.22</v>
      </c>
      <c r="V21">
        <f t="shared" si="0"/>
        <v>62.699999999999996</v>
      </c>
    </row>
    <row r="22" spans="1:22" x14ac:dyDescent="0.25">
      <c r="A22">
        <v>21</v>
      </c>
      <c r="B22">
        <v>2</v>
      </c>
      <c r="C22">
        <v>4.99</v>
      </c>
      <c r="D22">
        <v>43.7</v>
      </c>
      <c r="E22">
        <v>40</v>
      </c>
      <c r="F22">
        <v>80</v>
      </c>
      <c r="G22" t="s">
        <v>181</v>
      </c>
      <c r="H22">
        <v>53.437281900376902</v>
      </c>
      <c r="I22">
        <v>-0.59058898957399797</v>
      </c>
      <c r="N22">
        <v>20</v>
      </c>
      <c r="O22">
        <v>6.5</v>
      </c>
      <c r="P22" t="s">
        <v>155</v>
      </c>
      <c r="Q22">
        <v>6</v>
      </c>
      <c r="R22">
        <v>0</v>
      </c>
      <c r="V22">
        <f t="shared" si="0"/>
        <v>65</v>
      </c>
    </row>
    <row r="23" spans="1:22" x14ac:dyDescent="0.25">
      <c r="A23">
        <v>22</v>
      </c>
      <c r="B23">
        <v>3</v>
      </c>
      <c r="C23">
        <v>0</v>
      </c>
      <c r="D23">
        <v>63.4</v>
      </c>
      <c r="E23">
        <v>40</v>
      </c>
      <c r="F23">
        <v>80</v>
      </c>
      <c r="G23" t="s">
        <v>182</v>
      </c>
      <c r="H23">
        <v>53.376261671154701</v>
      </c>
      <c r="I23">
        <v>0.22101033111236801</v>
      </c>
      <c r="N23">
        <v>21</v>
      </c>
      <c r="O23">
        <v>4.37</v>
      </c>
      <c r="P23" t="s">
        <v>155</v>
      </c>
      <c r="Q23">
        <v>6</v>
      </c>
      <c r="R23">
        <v>4.99</v>
      </c>
      <c r="V23">
        <f t="shared" si="0"/>
        <v>43.7</v>
      </c>
    </row>
    <row r="24" spans="1:22" x14ac:dyDescent="0.25">
      <c r="A24">
        <v>23</v>
      </c>
      <c r="B24">
        <v>3</v>
      </c>
      <c r="C24">
        <v>0</v>
      </c>
      <c r="D24">
        <v>65</v>
      </c>
      <c r="E24">
        <v>40</v>
      </c>
      <c r="F24">
        <v>80</v>
      </c>
      <c r="G24" t="s">
        <v>183</v>
      </c>
      <c r="H24">
        <v>53.269880000000001</v>
      </c>
      <c r="I24">
        <v>-0.23991999999999999</v>
      </c>
      <c r="N24">
        <v>22</v>
      </c>
      <c r="O24">
        <v>6.34</v>
      </c>
      <c r="P24" t="s">
        <v>155</v>
      </c>
      <c r="Q24">
        <v>6</v>
      </c>
      <c r="R24">
        <v>0</v>
      </c>
      <c r="V24">
        <f t="shared" si="0"/>
        <v>63.4</v>
      </c>
    </row>
    <row r="25" spans="1:22" x14ac:dyDescent="0.25">
      <c r="A25">
        <v>24</v>
      </c>
      <c r="B25">
        <v>2</v>
      </c>
      <c r="C25">
        <v>3.52</v>
      </c>
      <c r="D25">
        <v>62.699999999999996</v>
      </c>
      <c r="E25">
        <v>40</v>
      </c>
      <c r="F25">
        <v>80</v>
      </c>
      <c r="G25" t="s">
        <v>183</v>
      </c>
      <c r="H25">
        <v>53.269880000000001</v>
      </c>
      <c r="I25">
        <v>-0.23991999999999999</v>
      </c>
      <c r="N25">
        <v>23</v>
      </c>
      <c r="O25">
        <v>6.5</v>
      </c>
      <c r="P25" t="s">
        <v>155</v>
      </c>
      <c r="Q25">
        <v>6</v>
      </c>
      <c r="R25">
        <v>0</v>
      </c>
      <c r="V25">
        <f t="shared" si="0"/>
        <v>65</v>
      </c>
    </row>
    <row r="26" spans="1:22" x14ac:dyDescent="0.25">
      <c r="A26">
        <v>25</v>
      </c>
      <c r="B26">
        <v>2</v>
      </c>
      <c r="C26">
        <v>0.06</v>
      </c>
      <c r="D26">
        <v>55</v>
      </c>
      <c r="E26">
        <v>40</v>
      </c>
      <c r="F26">
        <v>80</v>
      </c>
      <c r="G26" t="s">
        <v>164</v>
      </c>
      <c r="H26">
        <v>52.849403199523401</v>
      </c>
      <c r="I26">
        <v>1.46520917873459</v>
      </c>
      <c r="N26">
        <v>24</v>
      </c>
      <c r="O26">
        <v>6.27</v>
      </c>
      <c r="P26" t="s">
        <v>155</v>
      </c>
      <c r="Q26">
        <v>6</v>
      </c>
      <c r="R26">
        <v>3.52</v>
      </c>
      <c r="V26">
        <f t="shared" si="0"/>
        <v>62.699999999999996</v>
      </c>
    </row>
    <row r="27" spans="1:22" x14ac:dyDescent="0.25">
      <c r="A27">
        <v>26</v>
      </c>
      <c r="B27">
        <v>3</v>
      </c>
      <c r="C27">
        <v>0</v>
      </c>
      <c r="D27">
        <v>65</v>
      </c>
      <c r="E27">
        <v>40</v>
      </c>
      <c r="F27">
        <v>80</v>
      </c>
      <c r="G27" t="s">
        <v>184</v>
      </c>
      <c r="H27">
        <v>52.751478519212</v>
      </c>
      <c r="I27">
        <v>0.401754033943307</v>
      </c>
      <c r="N27">
        <v>25</v>
      </c>
      <c r="O27">
        <v>5.5</v>
      </c>
      <c r="P27" t="s">
        <v>155</v>
      </c>
      <c r="Q27">
        <v>6</v>
      </c>
      <c r="R27">
        <v>0.06</v>
      </c>
      <c r="V27">
        <f t="shared" si="0"/>
        <v>55</v>
      </c>
    </row>
    <row r="28" spans="1:22" x14ac:dyDescent="0.25">
      <c r="A28">
        <v>27</v>
      </c>
      <c r="B28">
        <v>2</v>
      </c>
      <c r="C28">
        <v>0.06</v>
      </c>
      <c r="D28">
        <v>50.5</v>
      </c>
      <c r="E28">
        <v>40</v>
      </c>
      <c r="F28">
        <v>80</v>
      </c>
      <c r="G28" t="s">
        <v>184</v>
      </c>
      <c r="H28">
        <v>52.751478519212</v>
      </c>
      <c r="I28">
        <v>0.401754033943307</v>
      </c>
      <c r="N28">
        <v>26</v>
      </c>
      <c r="O28">
        <v>6.5</v>
      </c>
      <c r="P28" t="s">
        <v>155</v>
      </c>
      <c r="Q28">
        <v>6</v>
      </c>
      <c r="R28">
        <v>0</v>
      </c>
      <c r="V28">
        <f t="shared" si="0"/>
        <v>65</v>
      </c>
    </row>
    <row r="29" spans="1:22" x14ac:dyDescent="0.25">
      <c r="A29">
        <v>28</v>
      </c>
      <c r="B29">
        <v>3</v>
      </c>
      <c r="C29">
        <v>0</v>
      </c>
      <c r="D29">
        <v>65</v>
      </c>
      <c r="E29">
        <v>40</v>
      </c>
      <c r="F29">
        <v>80</v>
      </c>
      <c r="G29" t="s">
        <v>185</v>
      </c>
      <c r="H29">
        <v>52.666724092955199</v>
      </c>
      <c r="I29">
        <v>0.160514427729258</v>
      </c>
      <c r="N29">
        <v>27</v>
      </c>
      <c r="O29">
        <v>5.05</v>
      </c>
      <c r="P29" t="s">
        <v>155</v>
      </c>
      <c r="Q29">
        <v>6</v>
      </c>
      <c r="R29">
        <v>0.06</v>
      </c>
      <c r="V29">
        <f t="shared" si="0"/>
        <v>50.5</v>
      </c>
    </row>
    <row r="30" spans="1:22" x14ac:dyDescent="0.25">
      <c r="A30">
        <v>29</v>
      </c>
      <c r="B30">
        <v>2</v>
      </c>
      <c r="C30">
        <v>2.36</v>
      </c>
      <c r="D30">
        <v>63.5</v>
      </c>
      <c r="E30">
        <v>40</v>
      </c>
      <c r="F30">
        <v>80</v>
      </c>
      <c r="G30" t="s">
        <v>185</v>
      </c>
      <c r="H30">
        <v>52.666724092955199</v>
      </c>
      <c r="I30">
        <v>0.160514427729258</v>
      </c>
      <c r="N30">
        <v>28</v>
      </c>
      <c r="O30">
        <v>6.5</v>
      </c>
      <c r="P30" t="s">
        <v>155</v>
      </c>
      <c r="Q30">
        <v>6</v>
      </c>
      <c r="R30">
        <v>0</v>
      </c>
      <c r="V30">
        <f t="shared" si="0"/>
        <v>65</v>
      </c>
    </row>
    <row r="31" spans="1:22" x14ac:dyDescent="0.25">
      <c r="A31">
        <v>30</v>
      </c>
      <c r="B31">
        <v>3</v>
      </c>
      <c r="C31">
        <v>0</v>
      </c>
      <c r="D31">
        <v>65</v>
      </c>
      <c r="E31">
        <v>40</v>
      </c>
      <c r="F31">
        <v>80</v>
      </c>
      <c r="G31" t="s">
        <v>186</v>
      </c>
      <c r="H31">
        <v>52.574387316591498</v>
      </c>
      <c r="I31">
        <v>-0.25102535014856098</v>
      </c>
      <c r="N31">
        <v>29</v>
      </c>
      <c r="O31">
        <v>6.35</v>
      </c>
      <c r="P31" t="s">
        <v>155</v>
      </c>
      <c r="Q31">
        <v>6</v>
      </c>
      <c r="R31">
        <v>2.36</v>
      </c>
      <c r="V31">
        <f t="shared" si="0"/>
        <v>63.5</v>
      </c>
    </row>
    <row r="32" spans="1:22" x14ac:dyDescent="0.25">
      <c r="A32">
        <v>31</v>
      </c>
      <c r="B32">
        <v>2</v>
      </c>
      <c r="C32">
        <v>1.06</v>
      </c>
      <c r="D32">
        <v>61</v>
      </c>
      <c r="E32">
        <v>40</v>
      </c>
      <c r="F32">
        <v>80</v>
      </c>
      <c r="G32" t="s">
        <v>186</v>
      </c>
      <c r="H32">
        <v>52.574387316591498</v>
      </c>
      <c r="I32">
        <v>-0.25102535014856098</v>
      </c>
      <c r="N32">
        <v>30</v>
      </c>
      <c r="O32">
        <v>6.5</v>
      </c>
      <c r="P32" t="s">
        <v>155</v>
      </c>
      <c r="Q32">
        <v>6</v>
      </c>
      <c r="R32">
        <v>0</v>
      </c>
      <c r="V32">
        <f t="shared" si="0"/>
        <v>65</v>
      </c>
    </row>
    <row r="33" spans="1:22" x14ac:dyDescent="0.25">
      <c r="A33">
        <v>32</v>
      </c>
      <c r="B33">
        <v>3</v>
      </c>
      <c r="C33">
        <v>0</v>
      </c>
      <c r="D33">
        <v>65</v>
      </c>
      <c r="E33">
        <v>40</v>
      </c>
      <c r="F33">
        <v>80</v>
      </c>
      <c r="G33" t="s">
        <v>187</v>
      </c>
      <c r="H33">
        <v>52.332067078306302</v>
      </c>
      <c r="I33">
        <v>-0.185735901632127</v>
      </c>
      <c r="N33">
        <v>31</v>
      </c>
      <c r="O33">
        <v>6.1</v>
      </c>
      <c r="P33" t="s">
        <v>155</v>
      </c>
      <c r="Q33">
        <v>6</v>
      </c>
      <c r="R33">
        <v>1.06</v>
      </c>
      <c r="V33">
        <f t="shared" si="0"/>
        <v>61</v>
      </c>
    </row>
    <row r="34" spans="1:22" x14ac:dyDescent="0.25">
      <c r="A34">
        <v>33</v>
      </c>
      <c r="B34">
        <v>2</v>
      </c>
      <c r="C34">
        <v>4.5599999999999996</v>
      </c>
      <c r="D34">
        <v>53.9</v>
      </c>
      <c r="E34">
        <v>40</v>
      </c>
      <c r="F34">
        <v>80</v>
      </c>
      <c r="G34" t="s">
        <v>187</v>
      </c>
      <c r="H34">
        <v>52.332067078306302</v>
      </c>
      <c r="I34">
        <v>-0.185735901632127</v>
      </c>
      <c r="N34">
        <v>32</v>
      </c>
      <c r="O34">
        <v>6.5</v>
      </c>
      <c r="P34" t="s">
        <v>155</v>
      </c>
      <c r="Q34">
        <v>6</v>
      </c>
      <c r="R34">
        <v>0</v>
      </c>
      <c r="V34">
        <f t="shared" si="0"/>
        <v>65</v>
      </c>
    </row>
    <row r="35" spans="1:22" x14ac:dyDescent="0.25">
      <c r="A35">
        <v>34</v>
      </c>
      <c r="B35">
        <v>3</v>
      </c>
      <c r="C35">
        <v>0</v>
      </c>
      <c r="D35">
        <v>65</v>
      </c>
      <c r="E35">
        <v>40</v>
      </c>
      <c r="F35">
        <v>80</v>
      </c>
      <c r="G35" t="s">
        <v>188</v>
      </c>
      <c r="H35">
        <v>51.735452546568503</v>
      </c>
      <c r="I35">
        <v>0.46744023571521598</v>
      </c>
      <c r="N35">
        <v>33</v>
      </c>
      <c r="O35">
        <v>5.39</v>
      </c>
      <c r="P35" t="s">
        <v>155</v>
      </c>
      <c r="Q35">
        <v>6</v>
      </c>
      <c r="R35">
        <v>4.5599999999999996</v>
      </c>
      <c r="V35">
        <f t="shared" si="0"/>
        <v>53.9</v>
      </c>
    </row>
    <row r="36" spans="1:22" x14ac:dyDescent="0.25">
      <c r="A36">
        <v>35</v>
      </c>
      <c r="B36">
        <v>2</v>
      </c>
      <c r="C36">
        <v>3.26</v>
      </c>
      <c r="D36">
        <v>55</v>
      </c>
      <c r="E36">
        <v>40</v>
      </c>
      <c r="F36">
        <v>80</v>
      </c>
      <c r="G36" t="s">
        <v>188</v>
      </c>
      <c r="H36">
        <v>51.735452546568503</v>
      </c>
      <c r="I36">
        <v>0.46744023571521598</v>
      </c>
      <c r="N36">
        <v>34</v>
      </c>
      <c r="O36">
        <v>6.5</v>
      </c>
      <c r="P36" t="s">
        <v>155</v>
      </c>
      <c r="Q36">
        <v>6</v>
      </c>
      <c r="R36">
        <v>0</v>
      </c>
      <c r="V36">
        <f t="shared" si="0"/>
        <v>65</v>
      </c>
    </row>
    <row r="37" spans="1:22" x14ac:dyDescent="0.25">
      <c r="A37">
        <v>36</v>
      </c>
      <c r="B37">
        <v>2</v>
      </c>
      <c r="C37">
        <v>1.26</v>
      </c>
      <c r="D37">
        <v>64</v>
      </c>
      <c r="E37">
        <v>40</v>
      </c>
      <c r="F37">
        <v>80</v>
      </c>
      <c r="G37" t="s">
        <v>189</v>
      </c>
      <c r="H37">
        <v>51.455363533070901</v>
      </c>
      <c r="I37">
        <v>0.71604099627329798</v>
      </c>
      <c r="N37">
        <v>35</v>
      </c>
      <c r="O37">
        <v>5.5</v>
      </c>
      <c r="P37" t="s">
        <v>155</v>
      </c>
      <c r="Q37">
        <v>6</v>
      </c>
      <c r="R37">
        <v>3.26</v>
      </c>
      <c r="V37">
        <f t="shared" si="0"/>
        <v>55</v>
      </c>
    </row>
    <row r="38" spans="1:22" x14ac:dyDescent="0.25">
      <c r="A38">
        <v>37</v>
      </c>
      <c r="B38">
        <v>2</v>
      </c>
      <c r="C38">
        <v>10.06</v>
      </c>
      <c r="D38">
        <v>64.099999999999994</v>
      </c>
      <c r="E38">
        <v>40</v>
      </c>
      <c r="F38">
        <v>80</v>
      </c>
      <c r="G38" t="s">
        <v>190</v>
      </c>
      <c r="H38">
        <v>51.414222873600202</v>
      </c>
      <c r="I38">
        <v>0.43162839982960599</v>
      </c>
      <c r="N38">
        <v>36</v>
      </c>
      <c r="O38">
        <v>6.4</v>
      </c>
      <c r="P38" t="s">
        <v>155</v>
      </c>
      <c r="Q38">
        <v>6</v>
      </c>
      <c r="R38">
        <v>1.26</v>
      </c>
      <c r="V38">
        <f t="shared" si="0"/>
        <v>64</v>
      </c>
    </row>
    <row r="39" spans="1:22" x14ac:dyDescent="0.25">
      <c r="A39">
        <v>38</v>
      </c>
      <c r="B39">
        <v>2</v>
      </c>
      <c r="C39">
        <v>5.0199999999999996</v>
      </c>
      <c r="D39">
        <v>64.3</v>
      </c>
      <c r="E39">
        <v>40</v>
      </c>
      <c r="F39">
        <v>80</v>
      </c>
      <c r="G39" t="s">
        <v>191</v>
      </c>
      <c r="H39">
        <v>52.007352614274197</v>
      </c>
      <c r="I39">
        <v>-0.52887635012001299</v>
      </c>
      <c r="N39">
        <v>37</v>
      </c>
      <c r="O39">
        <v>6.41</v>
      </c>
      <c r="P39" t="s">
        <v>155</v>
      </c>
      <c r="Q39">
        <v>6</v>
      </c>
      <c r="R39">
        <v>10.06</v>
      </c>
      <c r="V39">
        <f t="shared" si="0"/>
        <v>64.099999999999994</v>
      </c>
    </row>
    <row r="40" spans="1:22" x14ac:dyDescent="0.25">
      <c r="A40">
        <v>39</v>
      </c>
      <c r="B40">
        <v>3</v>
      </c>
      <c r="C40">
        <v>0</v>
      </c>
      <c r="D40">
        <v>65</v>
      </c>
      <c r="E40">
        <v>40</v>
      </c>
      <c r="F40">
        <v>80</v>
      </c>
      <c r="G40" t="s">
        <v>192</v>
      </c>
      <c r="H40">
        <v>51.818523432101998</v>
      </c>
      <c r="I40">
        <v>-0.81679835979273796</v>
      </c>
      <c r="N40">
        <v>38</v>
      </c>
      <c r="O40">
        <v>6.43</v>
      </c>
      <c r="P40" t="s">
        <v>155</v>
      </c>
      <c r="Q40">
        <v>6</v>
      </c>
      <c r="R40">
        <v>5.0199999999999996</v>
      </c>
      <c r="V40">
        <f t="shared" si="0"/>
        <v>64.3</v>
      </c>
    </row>
    <row r="41" spans="1:22" x14ac:dyDescent="0.25">
      <c r="A41">
        <v>40</v>
      </c>
      <c r="B41">
        <v>2</v>
      </c>
      <c r="C41">
        <v>4.8899999999999997</v>
      </c>
      <c r="D41">
        <v>63.099999999999994</v>
      </c>
      <c r="E41">
        <v>40</v>
      </c>
      <c r="F41">
        <v>80</v>
      </c>
      <c r="G41" t="s">
        <v>192</v>
      </c>
      <c r="H41">
        <v>51.818523432101998</v>
      </c>
      <c r="I41">
        <v>-0.81679835979273796</v>
      </c>
      <c r="N41">
        <v>39</v>
      </c>
      <c r="O41">
        <v>6.5</v>
      </c>
      <c r="P41" t="s">
        <v>155</v>
      </c>
      <c r="Q41">
        <v>6</v>
      </c>
      <c r="R41">
        <v>0</v>
      </c>
      <c r="V41">
        <f t="shared" si="0"/>
        <v>65</v>
      </c>
    </row>
    <row r="42" spans="1:22" x14ac:dyDescent="0.25">
      <c r="A42">
        <v>41</v>
      </c>
      <c r="B42">
        <v>3</v>
      </c>
      <c r="C42">
        <v>0</v>
      </c>
      <c r="D42">
        <v>65</v>
      </c>
      <c r="E42">
        <v>40</v>
      </c>
      <c r="F42">
        <v>80</v>
      </c>
      <c r="G42" t="s">
        <v>193</v>
      </c>
      <c r="H42">
        <v>51.037903405961799</v>
      </c>
      <c r="I42">
        <v>-1.58606658950955</v>
      </c>
      <c r="N42">
        <v>40</v>
      </c>
      <c r="O42">
        <v>6.31</v>
      </c>
      <c r="P42" t="s">
        <v>155</v>
      </c>
      <c r="Q42">
        <v>6</v>
      </c>
      <c r="R42">
        <v>4.8899999999999997</v>
      </c>
      <c r="V42">
        <f t="shared" si="0"/>
        <v>63.099999999999994</v>
      </c>
    </row>
    <row r="43" spans="1:22" x14ac:dyDescent="0.25">
      <c r="A43">
        <v>42</v>
      </c>
      <c r="B43">
        <v>2</v>
      </c>
      <c r="C43">
        <v>4.41</v>
      </c>
      <c r="D43">
        <v>60.9</v>
      </c>
      <c r="E43">
        <v>40</v>
      </c>
      <c r="F43">
        <v>80</v>
      </c>
      <c r="G43" t="s">
        <v>193</v>
      </c>
      <c r="H43">
        <v>51.037903405961799</v>
      </c>
      <c r="I43">
        <v>-1.58606658950955</v>
      </c>
      <c r="N43">
        <v>41</v>
      </c>
      <c r="O43">
        <v>6.5</v>
      </c>
      <c r="P43" t="s">
        <v>155</v>
      </c>
      <c r="Q43">
        <v>6</v>
      </c>
      <c r="R43">
        <v>0</v>
      </c>
      <c r="V43">
        <f t="shared" si="0"/>
        <v>65</v>
      </c>
    </row>
    <row r="44" spans="1:22" x14ac:dyDescent="0.25">
      <c r="A44">
        <v>43</v>
      </c>
      <c r="B44">
        <v>2</v>
      </c>
      <c r="C44">
        <v>2.06</v>
      </c>
      <c r="D44">
        <v>63.3</v>
      </c>
      <c r="E44">
        <v>40</v>
      </c>
      <c r="F44">
        <v>80</v>
      </c>
      <c r="G44" t="s">
        <v>194</v>
      </c>
      <c r="H44">
        <v>51.004928536641202</v>
      </c>
      <c r="I44">
        <v>-2.6818195818099602</v>
      </c>
      <c r="N44">
        <v>42</v>
      </c>
      <c r="O44">
        <v>6.09</v>
      </c>
      <c r="P44" t="s">
        <v>155</v>
      </c>
      <c r="Q44">
        <v>6</v>
      </c>
      <c r="R44">
        <v>4.41</v>
      </c>
      <c r="V44">
        <f t="shared" si="0"/>
        <v>60.9</v>
      </c>
    </row>
    <row r="45" spans="1:22" x14ac:dyDescent="0.25">
      <c r="A45">
        <v>44</v>
      </c>
      <c r="B45">
        <v>2</v>
      </c>
      <c r="C45">
        <v>2.81</v>
      </c>
      <c r="D45">
        <v>63</v>
      </c>
      <c r="E45">
        <v>40</v>
      </c>
      <c r="F45">
        <v>80</v>
      </c>
      <c r="G45" t="s">
        <v>195</v>
      </c>
      <c r="H45">
        <v>53.394246171193103</v>
      </c>
      <c r="I45">
        <v>-2.6020189817793198</v>
      </c>
      <c r="N45">
        <v>43</v>
      </c>
      <c r="O45">
        <v>6.33</v>
      </c>
      <c r="P45" t="s">
        <v>155</v>
      </c>
      <c r="Q45">
        <v>6</v>
      </c>
      <c r="R45">
        <v>2.06</v>
      </c>
      <c r="V45">
        <f t="shared" si="0"/>
        <v>63.3</v>
      </c>
    </row>
    <row r="46" spans="1:22" x14ac:dyDescent="0.25">
      <c r="A46">
        <v>45</v>
      </c>
      <c r="B46">
        <v>2</v>
      </c>
      <c r="C46">
        <v>0.15</v>
      </c>
      <c r="D46">
        <v>61.7</v>
      </c>
      <c r="E46">
        <v>40</v>
      </c>
      <c r="F46">
        <v>80</v>
      </c>
      <c r="G46" t="s">
        <v>196</v>
      </c>
      <c r="H46">
        <v>53.066830501702398</v>
      </c>
      <c r="I46">
        <v>-2.8601558285656901</v>
      </c>
      <c r="N46">
        <v>44</v>
      </c>
      <c r="O46">
        <v>6.3</v>
      </c>
      <c r="P46" t="s">
        <v>155</v>
      </c>
      <c r="Q46">
        <v>6</v>
      </c>
      <c r="R46">
        <v>2.81</v>
      </c>
      <c r="V46">
        <f t="shared" si="0"/>
        <v>63</v>
      </c>
    </row>
    <row r="47" spans="1:22" x14ac:dyDescent="0.25">
      <c r="A47">
        <v>46</v>
      </c>
      <c r="B47">
        <v>2</v>
      </c>
      <c r="C47">
        <v>8.8699999999999992</v>
      </c>
      <c r="D47">
        <v>59.800000000000004</v>
      </c>
      <c r="E47">
        <v>40</v>
      </c>
      <c r="F47">
        <v>80</v>
      </c>
      <c r="G47" t="s">
        <v>197</v>
      </c>
      <c r="H47">
        <v>53.2210323175306</v>
      </c>
      <c r="I47">
        <v>-2.8322335643843801</v>
      </c>
      <c r="N47">
        <v>45</v>
      </c>
      <c r="O47">
        <v>6.17</v>
      </c>
      <c r="P47" t="s">
        <v>155</v>
      </c>
      <c r="Q47">
        <v>6</v>
      </c>
      <c r="R47">
        <v>0.15</v>
      </c>
      <c r="V47">
        <f t="shared" si="0"/>
        <v>61.7</v>
      </c>
    </row>
    <row r="48" spans="1:22" x14ac:dyDescent="0.25">
      <c r="A48">
        <v>47</v>
      </c>
      <c r="B48">
        <v>2</v>
      </c>
      <c r="C48">
        <v>3.72</v>
      </c>
      <c r="D48">
        <v>59.699999999999996</v>
      </c>
      <c r="E48">
        <v>40</v>
      </c>
      <c r="F48">
        <v>80</v>
      </c>
      <c r="G48" t="s">
        <v>198</v>
      </c>
      <c r="H48">
        <v>53.054847223455802</v>
      </c>
      <c r="I48">
        <v>-2.3061759188379098</v>
      </c>
      <c r="N48">
        <v>46</v>
      </c>
      <c r="O48">
        <v>5.98</v>
      </c>
      <c r="P48" t="s">
        <v>155</v>
      </c>
      <c r="Q48">
        <v>6</v>
      </c>
      <c r="R48">
        <v>8.8699999999999992</v>
      </c>
      <c r="V48">
        <f t="shared" si="0"/>
        <v>59.800000000000004</v>
      </c>
    </row>
    <row r="49" spans="1:22" x14ac:dyDescent="0.25">
      <c r="A49">
        <v>48</v>
      </c>
      <c r="B49">
        <v>3</v>
      </c>
      <c r="C49">
        <v>0</v>
      </c>
      <c r="D49">
        <v>65</v>
      </c>
      <c r="E49">
        <v>40</v>
      </c>
      <c r="F49">
        <v>80</v>
      </c>
      <c r="G49" t="s">
        <v>199</v>
      </c>
      <c r="H49">
        <v>52.732877494606498</v>
      </c>
      <c r="I49">
        <v>-1.7498750796059801</v>
      </c>
      <c r="N49">
        <v>47</v>
      </c>
      <c r="O49">
        <v>5.97</v>
      </c>
      <c r="P49" t="s">
        <v>155</v>
      </c>
      <c r="Q49">
        <v>6</v>
      </c>
      <c r="R49">
        <v>3.72</v>
      </c>
      <c r="V49">
        <f t="shared" si="0"/>
        <v>59.699999999999996</v>
      </c>
    </row>
    <row r="50" spans="1:22" x14ac:dyDescent="0.25">
      <c r="A50">
        <v>49</v>
      </c>
      <c r="B50">
        <v>2</v>
      </c>
      <c r="C50">
        <v>2.2000000000000002</v>
      </c>
      <c r="D50">
        <v>59.699999999999996</v>
      </c>
      <c r="E50">
        <v>40</v>
      </c>
      <c r="F50">
        <v>80</v>
      </c>
      <c r="G50" t="s">
        <v>199</v>
      </c>
      <c r="H50">
        <v>52.732877494606498</v>
      </c>
      <c r="I50">
        <v>-1.7498750796059801</v>
      </c>
      <c r="N50">
        <v>48</v>
      </c>
      <c r="O50">
        <v>6.5</v>
      </c>
      <c r="P50" t="s">
        <v>155</v>
      </c>
      <c r="Q50">
        <v>6</v>
      </c>
      <c r="R50">
        <v>0</v>
      </c>
      <c r="V50">
        <f t="shared" si="0"/>
        <v>65</v>
      </c>
    </row>
    <row r="51" spans="1:22" x14ac:dyDescent="0.25">
      <c r="A51">
        <v>50</v>
      </c>
      <c r="B51">
        <v>3</v>
      </c>
      <c r="C51">
        <v>0</v>
      </c>
      <c r="D51">
        <v>65</v>
      </c>
      <c r="E51">
        <v>40</v>
      </c>
      <c r="F51">
        <v>80</v>
      </c>
      <c r="G51" t="s">
        <v>200</v>
      </c>
      <c r="H51">
        <v>52.420492377982697</v>
      </c>
      <c r="I51">
        <v>-1.24533759622908</v>
      </c>
      <c r="N51">
        <v>49</v>
      </c>
      <c r="O51">
        <v>5.97</v>
      </c>
      <c r="P51" t="s">
        <v>155</v>
      </c>
      <c r="Q51">
        <v>6</v>
      </c>
      <c r="R51">
        <v>2.2000000000000002</v>
      </c>
      <c r="V51">
        <f t="shared" si="0"/>
        <v>59.699999999999996</v>
      </c>
    </row>
    <row r="52" spans="1:22" x14ac:dyDescent="0.25">
      <c r="A52">
        <v>51</v>
      </c>
      <c r="B52">
        <v>2</v>
      </c>
      <c r="C52">
        <v>5.98</v>
      </c>
      <c r="D52">
        <v>63</v>
      </c>
      <c r="E52">
        <v>40</v>
      </c>
      <c r="F52">
        <v>80</v>
      </c>
      <c r="G52" t="s">
        <v>200</v>
      </c>
      <c r="H52">
        <v>52.420492377982697</v>
      </c>
      <c r="I52">
        <v>-1.24533759622908</v>
      </c>
      <c r="N52">
        <v>50</v>
      </c>
      <c r="O52">
        <v>6.5</v>
      </c>
      <c r="P52" t="s">
        <v>155</v>
      </c>
      <c r="Q52">
        <v>6</v>
      </c>
      <c r="R52">
        <v>0</v>
      </c>
      <c r="V52">
        <f t="shared" si="0"/>
        <v>65</v>
      </c>
    </row>
    <row r="53" spans="1:22" x14ac:dyDescent="0.25">
      <c r="A53">
        <v>52</v>
      </c>
      <c r="B53">
        <v>3</v>
      </c>
      <c r="C53">
        <v>0</v>
      </c>
      <c r="D53">
        <v>65</v>
      </c>
      <c r="E53">
        <v>40</v>
      </c>
      <c r="F53">
        <v>80</v>
      </c>
      <c r="G53" t="s">
        <v>201</v>
      </c>
      <c r="H53">
        <v>52.0263139486255</v>
      </c>
      <c r="I53">
        <v>-1.94143782379793</v>
      </c>
      <c r="N53">
        <v>51</v>
      </c>
      <c r="O53">
        <v>6.3</v>
      </c>
      <c r="P53" t="s">
        <v>155</v>
      </c>
      <c r="Q53">
        <v>6</v>
      </c>
      <c r="R53">
        <v>5.98</v>
      </c>
      <c r="V53">
        <f t="shared" si="0"/>
        <v>63</v>
      </c>
    </row>
    <row r="54" spans="1:22" x14ac:dyDescent="0.25">
      <c r="A54">
        <v>53</v>
      </c>
      <c r="B54">
        <v>3</v>
      </c>
      <c r="C54">
        <v>0</v>
      </c>
      <c r="D54">
        <v>65</v>
      </c>
      <c r="E54">
        <v>40</v>
      </c>
      <c r="F54">
        <v>80</v>
      </c>
      <c r="G54" t="s">
        <v>202</v>
      </c>
      <c r="H54">
        <v>51.849830710944097</v>
      </c>
      <c r="I54">
        <v>-2.9207692763179298</v>
      </c>
      <c r="N54">
        <v>52</v>
      </c>
      <c r="O54">
        <v>6.5</v>
      </c>
      <c r="P54" t="s">
        <v>155</v>
      </c>
      <c r="Q54">
        <v>6</v>
      </c>
      <c r="R54">
        <v>0</v>
      </c>
      <c r="V54">
        <f t="shared" si="0"/>
        <v>65</v>
      </c>
    </row>
    <row r="55" spans="1:22" x14ac:dyDescent="0.25">
      <c r="A55">
        <v>54</v>
      </c>
      <c r="B55">
        <v>2</v>
      </c>
      <c r="C55">
        <v>3.08</v>
      </c>
      <c r="D55">
        <v>59.1</v>
      </c>
      <c r="E55">
        <v>40</v>
      </c>
      <c r="F55">
        <v>80</v>
      </c>
      <c r="G55" t="s">
        <v>202</v>
      </c>
      <c r="H55">
        <v>51.849830710944097</v>
      </c>
      <c r="I55">
        <v>-2.9207692763179298</v>
      </c>
      <c r="N55">
        <v>53</v>
      </c>
      <c r="O55">
        <v>6.5</v>
      </c>
      <c r="P55" t="s">
        <v>155</v>
      </c>
      <c r="Q55">
        <v>6</v>
      </c>
      <c r="R55">
        <v>0</v>
      </c>
      <c r="V55">
        <f t="shared" si="0"/>
        <v>65</v>
      </c>
    </row>
    <row r="56" spans="1:22" x14ac:dyDescent="0.25">
      <c r="A56">
        <v>55</v>
      </c>
      <c r="B56">
        <v>2</v>
      </c>
      <c r="C56">
        <v>2.04</v>
      </c>
      <c r="D56">
        <v>63.099999999999994</v>
      </c>
      <c r="E56">
        <v>40</v>
      </c>
      <c r="F56">
        <v>80</v>
      </c>
      <c r="G56" t="s">
        <v>203</v>
      </c>
      <c r="H56">
        <v>51.762384721660901</v>
      </c>
      <c r="I56">
        <v>-3.3485596039430199</v>
      </c>
      <c r="N56">
        <v>54</v>
      </c>
      <c r="O56">
        <v>5.91</v>
      </c>
      <c r="P56" t="s">
        <v>155</v>
      </c>
      <c r="Q56">
        <v>6</v>
      </c>
      <c r="R56">
        <v>3.08</v>
      </c>
      <c r="V56">
        <f t="shared" si="0"/>
        <v>59.1</v>
      </c>
    </row>
    <row r="57" spans="1:22" x14ac:dyDescent="0.25">
      <c r="A57">
        <v>56</v>
      </c>
      <c r="B57">
        <v>3</v>
      </c>
      <c r="C57">
        <v>0</v>
      </c>
      <c r="D57">
        <v>62.5</v>
      </c>
      <c r="E57">
        <v>40</v>
      </c>
      <c r="F57">
        <v>80</v>
      </c>
      <c r="G57" t="s">
        <v>204</v>
      </c>
      <c r="H57">
        <v>51.714616956677297</v>
      </c>
      <c r="I57">
        <v>-5.0422431099497196</v>
      </c>
      <c r="N57">
        <v>55</v>
      </c>
      <c r="O57">
        <v>6.31</v>
      </c>
      <c r="P57" t="s">
        <v>155</v>
      </c>
      <c r="Q57">
        <v>6</v>
      </c>
      <c r="R57">
        <v>2.04</v>
      </c>
      <c r="V57">
        <f t="shared" si="0"/>
        <v>63.099999999999994</v>
      </c>
    </row>
    <row r="58" spans="1:22" x14ac:dyDescent="0.25">
      <c r="A58">
        <v>57</v>
      </c>
      <c r="B58">
        <v>3</v>
      </c>
      <c r="C58">
        <v>0</v>
      </c>
      <c r="D58">
        <v>62.400000000000006</v>
      </c>
      <c r="E58">
        <v>40</v>
      </c>
      <c r="F58">
        <v>80</v>
      </c>
      <c r="G58" t="s">
        <v>205</v>
      </c>
      <c r="H58">
        <v>51.707019315930999</v>
      </c>
      <c r="I58">
        <v>-3.97227592194066</v>
      </c>
      <c r="N58">
        <v>56</v>
      </c>
      <c r="O58">
        <v>6.25</v>
      </c>
      <c r="P58" t="s">
        <v>155</v>
      </c>
      <c r="Q58">
        <v>6</v>
      </c>
      <c r="R58">
        <v>0</v>
      </c>
      <c r="V58">
        <f t="shared" si="0"/>
        <v>62.5</v>
      </c>
    </row>
    <row r="59" spans="1:22" x14ac:dyDescent="0.25">
      <c r="A59">
        <v>58</v>
      </c>
      <c r="B59">
        <v>3</v>
      </c>
      <c r="C59">
        <v>0</v>
      </c>
      <c r="D59">
        <v>65</v>
      </c>
      <c r="E59">
        <v>40</v>
      </c>
      <c r="F59">
        <v>80</v>
      </c>
      <c r="G59" t="s">
        <v>205</v>
      </c>
      <c r="H59">
        <v>51.707019315930999</v>
      </c>
      <c r="I59">
        <v>-3.97227592194066</v>
      </c>
      <c r="N59">
        <v>57</v>
      </c>
      <c r="O59">
        <v>6.24</v>
      </c>
      <c r="P59" t="s">
        <v>155</v>
      </c>
      <c r="Q59">
        <v>6</v>
      </c>
      <c r="R59">
        <v>0</v>
      </c>
      <c r="V59">
        <f t="shared" si="0"/>
        <v>62.400000000000006</v>
      </c>
    </row>
    <row r="60" spans="1:22" x14ac:dyDescent="0.25">
      <c r="A60">
        <v>59</v>
      </c>
      <c r="B60">
        <v>2</v>
      </c>
      <c r="C60">
        <v>0.75</v>
      </c>
      <c r="D60">
        <v>63.7</v>
      </c>
      <c r="E60">
        <v>40</v>
      </c>
      <c r="F60">
        <v>80</v>
      </c>
      <c r="G60" t="s">
        <v>201</v>
      </c>
      <c r="H60">
        <v>52.026309464235602</v>
      </c>
      <c r="I60">
        <v>-1.94139414397698</v>
      </c>
      <c r="N60">
        <v>58</v>
      </c>
      <c r="O60">
        <v>6.5</v>
      </c>
      <c r="P60" t="s">
        <v>155</v>
      </c>
      <c r="Q60">
        <v>6</v>
      </c>
      <c r="R60">
        <v>0</v>
      </c>
      <c r="V60">
        <f t="shared" si="0"/>
        <v>65</v>
      </c>
    </row>
    <row r="61" spans="1:22" x14ac:dyDescent="0.25">
      <c r="A61">
        <v>60</v>
      </c>
      <c r="B61">
        <v>2</v>
      </c>
      <c r="C61">
        <v>1.46</v>
      </c>
      <c r="D61">
        <v>63.5</v>
      </c>
      <c r="E61">
        <v>40</v>
      </c>
      <c r="F61">
        <v>80</v>
      </c>
      <c r="G61" t="s">
        <v>206</v>
      </c>
      <c r="H61">
        <v>51.487003989542202</v>
      </c>
      <c r="I61">
        <v>-2.4362952761924901</v>
      </c>
      <c r="N61">
        <v>59</v>
      </c>
      <c r="O61">
        <v>6.37</v>
      </c>
      <c r="P61" t="s">
        <v>155</v>
      </c>
      <c r="Q61">
        <v>6</v>
      </c>
      <c r="R61">
        <v>0.75</v>
      </c>
      <c r="V61">
        <f t="shared" si="0"/>
        <v>63.7</v>
      </c>
    </row>
    <row r="62" spans="1:22" x14ac:dyDescent="0.25">
      <c r="A62">
        <v>61</v>
      </c>
      <c r="B62">
        <v>2</v>
      </c>
      <c r="C62">
        <v>0.03</v>
      </c>
      <c r="D62">
        <v>63.5</v>
      </c>
      <c r="E62">
        <v>40</v>
      </c>
      <c r="F62">
        <v>80</v>
      </c>
      <c r="G62" t="s">
        <v>170</v>
      </c>
      <c r="H62">
        <v>57.558767562223899</v>
      </c>
      <c r="I62">
        <v>-1.8376563026253301</v>
      </c>
      <c r="N62">
        <v>60</v>
      </c>
      <c r="O62">
        <v>6.35</v>
      </c>
      <c r="P62" t="s">
        <v>155</v>
      </c>
      <c r="Q62">
        <v>6</v>
      </c>
      <c r="R62">
        <v>1.46</v>
      </c>
      <c r="V62">
        <f t="shared" si="0"/>
        <v>63.5</v>
      </c>
    </row>
    <row r="63" spans="1:22" x14ac:dyDescent="0.25">
      <c r="A63">
        <v>62</v>
      </c>
      <c r="B63">
        <v>2</v>
      </c>
      <c r="C63">
        <v>0.67</v>
      </c>
      <c r="D63">
        <v>63.3</v>
      </c>
      <c r="E63">
        <v>40</v>
      </c>
      <c r="F63">
        <v>80</v>
      </c>
      <c r="G63" t="s">
        <v>170</v>
      </c>
      <c r="H63">
        <v>57.558767562223899</v>
      </c>
      <c r="I63">
        <v>-1.8376563026253301</v>
      </c>
      <c r="N63">
        <v>61</v>
      </c>
      <c r="O63">
        <v>6.35</v>
      </c>
      <c r="P63" t="s">
        <v>155</v>
      </c>
      <c r="Q63">
        <v>6</v>
      </c>
      <c r="R63">
        <v>0.03</v>
      </c>
      <c r="V63">
        <f t="shared" si="0"/>
        <v>63.5</v>
      </c>
    </row>
    <row r="64" spans="1:22" x14ac:dyDescent="0.25">
      <c r="A64">
        <v>63</v>
      </c>
      <c r="B64">
        <v>1</v>
      </c>
      <c r="C64">
        <v>0</v>
      </c>
      <c r="D64">
        <v>68.5</v>
      </c>
      <c r="E64">
        <v>40</v>
      </c>
      <c r="F64">
        <v>80</v>
      </c>
      <c r="G64" t="s">
        <v>170</v>
      </c>
      <c r="H64">
        <v>57.558767562223899</v>
      </c>
      <c r="I64">
        <v>-1.8376563026253301</v>
      </c>
      <c r="N64">
        <v>62</v>
      </c>
      <c r="O64">
        <v>6.33</v>
      </c>
      <c r="P64" t="s">
        <v>155</v>
      </c>
      <c r="Q64">
        <v>6</v>
      </c>
      <c r="R64">
        <v>0.67</v>
      </c>
      <c r="V64">
        <f t="shared" si="0"/>
        <v>63.3</v>
      </c>
    </row>
    <row r="65" spans="1:22" x14ac:dyDescent="0.25">
      <c r="A65">
        <v>64</v>
      </c>
      <c r="B65">
        <v>2</v>
      </c>
      <c r="C65">
        <v>0.91</v>
      </c>
      <c r="D65">
        <v>62.400000000000006</v>
      </c>
      <c r="E65">
        <v>40</v>
      </c>
      <c r="F65">
        <v>80</v>
      </c>
      <c r="G65" t="s">
        <v>205</v>
      </c>
      <c r="H65">
        <v>51.707178879072202</v>
      </c>
      <c r="I65">
        <v>-3.97261924468348</v>
      </c>
      <c r="N65">
        <v>63</v>
      </c>
      <c r="O65">
        <v>6.85</v>
      </c>
      <c r="P65" t="s">
        <v>155</v>
      </c>
      <c r="Q65">
        <v>6</v>
      </c>
      <c r="R65" t="s">
        <v>156</v>
      </c>
      <c r="S65" t="s">
        <v>157</v>
      </c>
      <c r="T65" t="s">
        <v>158</v>
      </c>
      <c r="V65">
        <f t="shared" si="0"/>
        <v>68.5</v>
      </c>
    </row>
    <row r="66" spans="1:22" x14ac:dyDescent="0.25">
      <c r="A66">
        <v>65</v>
      </c>
      <c r="B66">
        <v>1</v>
      </c>
      <c r="C66">
        <v>0</v>
      </c>
      <c r="D66">
        <v>68.400000000000006</v>
      </c>
      <c r="E66">
        <v>40</v>
      </c>
      <c r="F66">
        <v>80</v>
      </c>
      <c r="G66" t="s">
        <v>182</v>
      </c>
      <c r="H66">
        <v>53.374268042710597</v>
      </c>
      <c r="I66">
        <v>0.212937147363952</v>
      </c>
      <c r="N66">
        <v>64</v>
      </c>
      <c r="O66">
        <v>6.24</v>
      </c>
      <c r="P66" t="s">
        <v>155</v>
      </c>
      <c r="Q66">
        <v>6</v>
      </c>
      <c r="R66">
        <v>0.91</v>
      </c>
      <c r="V66">
        <f t="shared" si="0"/>
        <v>62.400000000000006</v>
      </c>
    </row>
    <row r="67" spans="1:22" x14ac:dyDescent="0.25">
      <c r="A67">
        <v>66</v>
      </c>
      <c r="B67">
        <v>1</v>
      </c>
      <c r="C67">
        <v>0</v>
      </c>
      <c r="D67">
        <v>67.8</v>
      </c>
      <c r="E67">
        <v>40</v>
      </c>
      <c r="F67">
        <v>80</v>
      </c>
      <c r="G67" t="s">
        <v>160</v>
      </c>
      <c r="H67">
        <v>54.571456830941202</v>
      </c>
      <c r="I67">
        <v>-1.22973650979099</v>
      </c>
      <c r="N67">
        <v>65</v>
      </c>
      <c r="O67">
        <v>6.84</v>
      </c>
      <c r="P67" t="s">
        <v>155</v>
      </c>
      <c r="Q67">
        <v>6</v>
      </c>
      <c r="R67" t="s">
        <v>159</v>
      </c>
      <c r="S67" t="s">
        <v>158</v>
      </c>
      <c r="V67">
        <f t="shared" si="0"/>
        <v>68.400000000000006</v>
      </c>
    </row>
    <row r="68" spans="1:22" x14ac:dyDescent="0.25">
      <c r="A68">
        <v>67</v>
      </c>
      <c r="B68">
        <v>1</v>
      </c>
      <c r="C68">
        <v>0</v>
      </c>
      <c r="D68">
        <v>66.7</v>
      </c>
      <c r="E68">
        <v>40</v>
      </c>
      <c r="F68">
        <v>80</v>
      </c>
      <c r="G68" t="s">
        <v>196</v>
      </c>
      <c r="H68">
        <v>53.075925299204698</v>
      </c>
      <c r="I68">
        <v>-2.8477129579317602</v>
      </c>
      <c r="N68">
        <v>66</v>
      </c>
      <c r="O68">
        <v>6.78</v>
      </c>
      <c r="P68" t="s">
        <v>155</v>
      </c>
      <c r="Q68">
        <v>6</v>
      </c>
      <c r="R68" t="s">
        <v>160</v>
      </c>
      <c r="S68" t="s">
        <v>158</v>
      </c>
      <c r="V68">
        <f t="shared" ref="V68:V80" si="1">O68*10</f>
        <v>67.8</v>
      </c>
    </row>
    <row r="69" spans="1:22" x14ac:dyDescent="0.25">
      <c r="A69">
        <v>68</v>
      </c>
      <c r="B69">
        <v>1</v>
      </c>
      <c r="C69">
        <v>0</v>
      </c>
      <c r="D69">
        <v>66.100000000000009</v>
      </c>
      <c r="E69">
        <v>40</v>
      </c>
      <c r="F69">
        <v>80</v>
      </c>
      <c r="G69" t="s">
        <v>163</v>
      </c>
      <c r="H69">
        <v>54.109207294189602</v>
      </c>
      <c r="I69">
        <v>-3.22485258466194</v>
      </c>
      <c r="N69">
        <v>67</v>
      </c>
      <c r="O69">
        <v>6.67</v>
      </c>
      <c r="P69" t="s">
        <v>155</v>
      </c>
      <c r="Q69">
        <v>6</v>
      </c>
      <c r="R69" t="s">
        <v>161</v>
      </c>
      <c r="S69" t="s">
        <v>162</v>
      </c>
      <c r="T69" t="s">
        <v>158</v>
      </c>
      <c r="V69">
        <f t="shared" si="1"/>
        <v>66.7</v>
      </c>
    </row>
    <row r="70" spans="1:22" x14ac:dyDescent="0.25">
      <c r="A70">
        <v>69</v>
      </c>
      <c r="B70">
        <v>1</v>
      </c>
      <c r="C70">
        <v>0</v>
      </c>
      <c r="D70">
        <v>60</v>
      </c>
      <c r="E70">
        <v>40</v>
      </c>
      <c r="F70">
        <v>80</v>
      </c>
      <c r="G70" t="s">
        <v>164</v>
      </c>
      <c r="H70">
        <v>52.8498178710541</v>
      </c>
      <c r="I70">
        <v>1.4651233480488799</v>
      </c>
      <c r="N70">
        <v>68</v>
      </c>
      <c r="O70">
        <v>6.61</v>
      </c>
      <c r="P70" t="s">
        <v>155</v>
      </c>
      <c r="Q70">
        <v>6</v>
      </c>
      <c r="R70" t="s">
        <v>163</v>
      </c>
      <c r="S70" t="s">
        <v>158</v>
      </c>
      <c r="V70">
        <f t="shared" si="1"/>
        <v>66.100000000000009</v>
      </c>
    </row>
    <row r="71" spans="1:22" x14ac:dyDescent="0.25">
      <c r="A71">
        <v>70</v>
      </c>
      <c r="B71">
        <v>1</v>
      </c>
      <c r="C71">
        <v>0</v>
      </c>
      <c r="D71">
        <v>69</v>
      </c>
      <c r="E71">
        <v>40</v>
      </c>
      <c r="F71">
        <v>80</v>
      </c>
      <c r="G71" t="s">
        <v>189</v>
      </c>
      <c r="H71">
        <v>51.4554704992916</v>
      </c>
      <c r="I71">
        <v>0.71878757821579398</v>
      </c>
      <c r="N71">
        <v>69</v>
      </c>
      <c r="O71">
        <v>6</v>
      </c>
      <c r="P71" t="s">
        <v>155</v>
      </c>
      <c r="Q71">
        <v>6</v>
      </c>
      <c r="R71" t="s">
        <v>164</v>
      </c>
      <c r="S71" t="s">
        <v>158</v>
      </c>
      <c r="V71">
        <f t="shared" si="1"/>
        <v>60</v>
      </c>
    </row>
    <row r="72" spans="1:22" x14ac:dyDescent="0.25">
      <c r="A72">
        <v>71</v>
      </c>
      <c r="B72">
        <v>1</v>
      </c>
      <c r="C72">
        <v>0</v>
      </c>
      <c r="D72">
        <v>67.8</v>
      </c>
      <c r="E72">
        <v>40</v>
      </c>
      <c r="F72">
        <v>80</v>
      </c>
      <c r="G72" t="s">
        <v>166</v>
      </c>
      <c r="H72">
        <v>53.6575522118547</v>
      </c>
      <c r="I72">
        <v>0.117630218929007</v>
      </c>
      <c r="N72">
        <v>70</v>
      </c>
      <c r="O72">
        <v>6.9</v>
      </c>
      <c r="P72" t="s">
        <v>155</v>
      </c>
      <c r="Q72">
        <v>6</v>
      </c>
      <c r="R72" t="s">
        <v>165</v>
      </c>
      <c r="S72" t="s">
        <v>158</v>
      </c>
      <c r="V72">
        <f t="shared" si="1"/>
        <v>69</v>
      </c>
    </row>
    <row r="73" spans="1:22" x14ac:dyDescent="0.25">
      <c r="A73">
        <v>72</v>
      </c>
      <c r="B73">
        <v>1</v>
      </c>
      <c r="C73">
        <v>0</v>
      </c>
      <c r="D73">
        <v>67.5</v>
      </c>
      <c r="E73">
        <v>40</v>
      </c>
      <c r="F73">
        <v>80</v>
      </c>
      <c r="G73" t="s">
        <v>204</v>
      </c>
      <c r="H73">
        <v>51.714616956677297</v>
      </c>
      <c r="I73">
        <v>-5.0418997872069102</v>
      </c>
      <c r="N73">
        <v>71</v>
      </c>
      <c r="O73">
        <v>6.78</v>
      </c>
      <c r="P73" t="s">
        <v>155</v>
      </c>
      <c r="Q73">
        <v>6</v>
      </c>
      <c r="R73" t="s">
        <v>166</v>
      </c>
      <c r="S73" t="s">
        <v>158</v>
      </c>
      <c r="V73">
        <f t="shared" si="1"/>
        <v>67.8</v>
      </c>
    </row>
    <row r="74" spans="1:22" x14ac:dyDescent="0.25">
      <c r="A74">
        <v>73</v>
      </c>
      <c r="B74">
        <v>3</v>
      </c>
      <c r="C74">
        <v>0</v>
      </c>
      <c r="D74">
        <v>62.699999999999996</v>
      </c>
      <c r="E74">
        <v>40</v>
      </c>
      <c r="F74">
        <v>80</v>
      </c>
      <c r="G74" t="s">
        <v>207</v>
      </c>
      <c r="H74">
        <v>53.660299999999999</v>
      </c>
      <c r="I74">
        <v>0.113889</v>
      </c>
      <c r="N74">
        <v>72</v>
      </c>
      <c r="O74">
        <v>6.75</v>
      </c>
      <c r="P74" t="s">
        <v>155</v>
      </c>
      <c r="Q74">
        <v>6</v>
      </c>
      <c r="R74" t="s">
        <v>167</v>
      </c>
      <c r="S74" t="s">
        <v>168</v>
      </c>
      <c r="T74" t="s">
        <v>158</v>
      </c>
      <c r="V74">
        <f t="shared" si="1"/>
        <v>67.5</v>
      </c>
    </row>
    <row r="75" spans="1:22" x14ac:dyDescent="0.25">
      <c r="A75">
        <v>74</v>
      </c>
      <c r="B75">
        <v>2</v>
      </c>
      <c r="C75">
        <v>3.74</v>
      </c>
      <c r="D75">
        <v>51.3</v>
      </c>
      <c r="E75">
        <v>40</v>
      </c>
      <c r="F75">
        <v>80</v>
      </c>
      <c r="G75" t="s">
        <v>172</v>
      </c>
      <c r="H75">
        <v>55.886066928359099</v>
      </c>
      <c r="I75">
        <v>-3.9946110396623502</v>
      </c>
      <c r="N75">
        <v>73</v>
      </c>
      <c r="O75">
        <v>6.27</v>
      </c>
      <c r="P75" t="s">
        <v>155</v>
      </c>
      <c r="Q75">
        <v>6</v>
      </c>
      <c r="R75">
        <v>0</v>
      </c>
      <c r="V75">
        <f t="shared" si="1"/>
        <v>62.699999999999996</v>
      </c>
    </row>
    <row r="76" spans="1:22" x14ac:dyDescent="0.25">
      <c r="A76">
        <v>75</v>
      </c>
      <c r="B76">
        <v>2</v>
      </c>
      <c r="C76">
        <v>1.4</v>
      </c>
      <c r="D76">
        <v>59.800000000000004</v>
      </c>
      <c r="E76">
        <v>40</v>
      </c>
      <c r="F76">
        <v>80</v>
      </c>
      <c r="G76" t="s">
        <v>210</v>
      </c>
      <c r="H76">
        <v>53.4186435204684</v>
      </c>
      <c r="I76">
        <v>-2.42784330532373</v>
      </c>
      <c r="N76">
        <v>74</v>
      </c>
      <c r="O76">
        <v>5.13</v>
      </c>
      <c r="P76" t="s">
        <v>155</v>
      </c>
      <c r="Q76">
        <v>6</v>
      </c>
      <c r="R76">
        <v>3.74</v>
      </c>
      <c r="V76">
        <f t="shared" si="1"/>
        <v>51.3</v>
      </c>
    </row>
    <row r="77" spans="1:22" x14ac:dyDescent="0.25">
      <c r="A77">
        <v>76</v>
      </c>
      <c r="B77">
        <v>3</v>
      </c>
      <c r="C77">
        <v>0</v>
      </c>
      <c r="D77">
        <v>62.699999999999996</v>
      </c>
      <c r="E77">
        <v>40</v>
      </c>
      <c r="F77">
        <v>80</v>
      </c>
      <c r="G77" t="s">
        <v>211</v>
      </c>
      <c r="H77" s="4">
        <v>53.574564199999998</v>
      </c>
      <c r="I77">
        <v>-1.0052281000000001</v>
      </c>
      <c r="N77">
        <v>75</v>
      </c>
      <c r="O77">
        <v>5.98</v>
      </c>
      <c r="P77" t="s">
        <v>155</v>
      </c>
      <c r="Q77">
        <v>6</v>
      </c>
      <c r="R77">
        <v>1.4</v>
      </c>
      <c r="V77">
        <f t="shared" si="1"/>
        <v>59.800000000000004</v>
      </c>
    </row>
    <row r="78" spans="1:22" x14ac:dyDescent="0.25">
      <c r="A78">
        <v>77</v>
      </c>
      <c r="B78">
        <v>2</v>
      </c>
      <c r="C78">
        <v>0.21</v>
      </c>
      <c r="D78">
        <v>62.699999999999996</v>
      </c>
      <c r="E78">
        <v>40</v>
      </c>
      <c r="F78">
        <v>80</v>
      </c>
      <c r="G78" t="s">
        <v>209</v>
      </c>
      <c r="H78">
        <v>53.910073713198301</v>
      </c>
      <c r="I78">
        <v>-0.174259785491166</v>
      </c>
      <c r="N78">
        <v>76</v>
      </c>
      <c r="O78">
        <v>6.27</v>
      </c>
      <c r="P78" t="s">
        <v>155</v>
      </c>
      <c r="Q78">
        <v>6</v>
      </c>
      <c r="R78">
        <v>0</v>
      </c>
      <c r="V78">
        <f t="shared" si="1"/>
        <v>62.699999999999996</v>
      </c>
    </row>
    <row r="79" spans="1:22" x14ac:dyDescent="0.25">
      <c r="A79">
        <v>78</v>
      </c>
      <c r="B79">
        <v>2</v>
      </c>
      <c r="C79">
        <v>0.51</v>
      </c>
      <c r="D79">
        <v>63.4</v>
      </c>
      <c r="E79">
        <v>40</v>
      </c>
      <c r="F79">
        <v>80</v>
      </c>
      <c r="G79" t="s">
        <v>208</v>
      </c>
      <c r="H79">
        <v>51.547536609023297</v>
      </c>
      <c r="I79">
        <v>-2.6395492924575001</v>
      </c>
      <c r="N79">
        <v>77</v>
      </c>
      <c r="O79">
        <v>6.27</v>
      </c>
      <c r="P79" t="s">
        <v>155</v>
      </c>
      <c r="Q79">
        <v>6</v>
      </c>
      <c r="R79">
        <v>0.21</v>
      </c>
      <c r="V79">
        <f t="shared" si="1"/>
        <v>62.699999999999996</v>
      </c>
    </row>
    <row r="80" spans="1:22" x14ac:dyDescent="0.25">
      <c r="N80">
        <v>78</v>
      </c>
      <c r="O80">
        <v>6.34</v>
      </c>
      <c r="P80" t="s">
        <v>155</v>
      </c>
      <c r="Q80">
        <v>6</v>
      </c>
      <c r="R80">
        <v>0.51</v>
      </c>
      <c r="V80">
        <f t="shared" si="1"/>
        <v>63.4</v>
      </c>
    </row>
    <row r="81" spans="3:3" x14ac:dyDescent="0.25">
      <c r="C81" t="s">
        <v>378</v>
      </c>
    </row>
  </sheetData>
  <hyperlinks>
    <hyperlink ref="H12" r:id="rId1" location="map=19/55.364084/-3.486354" display="https://www.openstreetmap.org/ - map=19/55.364084/-3.486354" xr:uid="{C47D9AE2-A9C6-41B1-81EA-7681D222DBB1}"/>
    <hyperlink ref="H13" r:id="rId2" location="map=19/55.364084/-3.486354" display="https://www.openstreetmap.org/ - map=19/55.364084/-3.486354" xr:uid="{FCE7A697-7F4E-4EF9-9CB2-23AC1EE1617B}"/>
    <hyperlink ref="H24" r:id="rId3" location="map=16/53.26988/-0.23992" display="https://www.openstreetmap.org/ - map=16/53.26988/-0.23992" xr:uid="{A9F135FF-0B0C-4698-95DE-1EF778CF3169}"/>
    <hyperlink ref="H25" r:id="rId4" location="map=16/53.26988/-0.23992" display="https://www.openstreetmap.org/ - map=16/53.26988/-0.23992" xr:uid="{1814109E-EF1B-4CF7-A9BA-5868AEFDBFCD}"/>
    <hyperlink ref="H77" r:id="rId5" location="map=18/53.5745642/-1.0052281" display="https://www.openstreetmap.org/ - map=18/53.5745642/-1.0052281" xr:uid="{B6475404-5AF1-4AA0-86F8-1D3DB8B8E6CE}"/>
  </hyperlinks>
  <pageMargins left="0.7" right="0.7" top="0.75" bottom="0.75" header="0.3" footer="0.3"/>
  <pageSetup paperSize="9"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5A3C-48FC-42A0-91EE-0F0CF5F3F6C9}">
  <dimension ref="A1:R92"/>
  <sheetViews>
    <sheetView workbookViewId="0">
      <selection activeCell="J1" sqref="J1"/>
    </sheetView>
  </sheetViews>
  <sheetFormatPr defaultRowHeight="15" x14ac:dyDescent="0.25"/>
  <cols>
    <col min="6" max="6" width="10.85546875" bestFit="1" customWidth="1"/>
    <col min="8" max="8" width="13.140625" bestFit="1" customWidth="1"/>
  </cols>
  <sheetData>
    <row r="1" spans="1:17" x14ac:dyDescent="0.25">
      <c r="A1" s="1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352</v>
      </c>
      <c r="G1" s="1" t="s">
        <v>353</v>
      </c>
      <c r="H1" s="1" t="s">
        <v>355</v>
      </c>
      <c r="I1" s="1" t="s">
        <v>356</v>
      </c>
      <c r="J1" s="1" t="s">
        <v>379</v>
      </c>
      <c r="L1" t="s">
        <v>237</v>
      </c>
      <c r="M1" t="s">
        <v>238</v>
      </c>
      <c r="N1" t="s">
        <v>239</v>
      </c>
    </row>
    <row r="2" spans="1:17" x14ac:dyDescent="0.25">
      <c r="A2">
        <v>61</v>
      </c>
      <c r="B2">
        <v>62</v>
      </c>
      <c r="C2">
        <v>11.7107345318407</v>
      </c>
      <c r="D2">
        <v>0</v>
      </c>
      <c r="E2">
        <v>999</v>
      </c>
      <c r="F2">
        <f>M2/1000</f>
        <v>10</v>
      </c>
      <c r="G2">
        <v>1.8520000000000001</v>
      </c>
      <c r="H2">
        <v>2.5000000000000001E-3</v>
      </c>
      <c r="I2">
        <v>0</v>
      </c>
      <c r="J2" t="s">
        <v>212</v>
      </c>
      <c r="L2">
        <v>1</v>
      </c>
      <c r="M2" s="5">
        <v>10000</v>
      </c>
      <c r="N2">
        <v>1.8520000000000001</v>
      </c>
      <c r="O2">
        <v>61</v>
      </c>
      <c r="P2">
        <v>62</v>
      </c>
      <c r="Q2" t="s">
        <v>212</v>
      </c>
    </row>
    <row r="3" spans="1:17" x14ac:dyDescent="0.25">
      <c r="A3">
        <v>1</v>
      </c>
      <c r="B3">
        <v>3</v>
      </c>
      <c r="C3">
        <v>4.4262416058781104</v>
      </c>
      <c r="D3">
        <v>0</v>
      </c>
      <c r="E3">
        <v>999</v>
      </c>
      <c r="F3">
        <f t="shared" ref="F3:F66" si="0">M3/1000</f>
        <v>70</v>
      </c>
      <c r="G3">
        <v>1.8520000000000001</v>
      </c>
      <c r="H3">
        <v>2.5000000000000001E-3</v>
      </c>
      <c r="I3">
        <v>0</v>
      </c>
      <c r="J3" t="s">
        <v>212</v>
      </c>
      <c r="L3">
        <v>2</v>
      </c>
      <c r="M3" s="5">
        <v>70000</v>
      </c>
      <c r="N3">
        <v>1.8520000000000001</v>
      </c>
      <c r="O3">
        <v>1</v>
      </c>
      <c r="P3">
        <v>3</v>
      </c>
      <c r="Q3" t="s">
        <v>212</v>
      </c>
    </row>
    <row r="4" spans="1:17" x14ac:dyDescent="0.25">
      <c r="A4">
        <v>2</v>
      </c>
      <c r="B4">
        <v>5</v>
      </c>
      <c r="C4">
        <v>1.18650909250965</v>
      </c>
      <c r="D4">
        <v>0</v>
      </c>
      <c r="E4">
        <v>999</v>
      </c>
      <c r="F4">
        <f t="shared" si="0"/>
        <v>215</v>
      </c>
      <c r="G4">
        <v>1.369</v>
      </c>
      <c r="H4">
        <v>2.5000000000000001E-3</v>
      </c>
      <c r="I4">
        <v>0</v>
      </c>
      <c r="J4" t="s">
        <v>212</v>
      </c>
      <c r="L4">
        <v>3</v>
      </c>
      <c r="M4" s="5">
        <v>215000</v>
      </c>
      <c r="N4">
        <v>1.369</v>
      </c>
      <c r="O4">
        <v>2</v>
      </c>
      <c r="P4">
        <v>5</v>
      </c>
      <c r="Q4" t="s">
        <v>212</v>
      </c>
    </row>
    <row r="5" spans="1:17" x14ac:dyDescent="0.25">
      <c r="A5">
        <v>2</v>
      </c>
      <c r="B5">
        <v>7</v>
      </c>
      <c r="C5">
        <v>0.78029194445814398</v>
      </c>
      <c r="D5">
        <v>0</v>
      </c>
      <c r="E5">
        <v>999</v>
      </c>
      <c r="F5">
        <f t="shared" si="0"/>
        <v>145</v>
      </c>
      <c r="G5">
        <v>1.07</v>
      </c>
      <c r="H5">
        <v>2.5000000000000001E-3</v>
      </c>
      <c r="I5">
        <v>0</v>
      </c>
      <c r="J5" t="s">
        <v>212</v>
      </c>
      <c r="L5">
        <v>4</v>
      </c>
      <c r="M5" s="5">
        <v>145000</v>
      </c>
      <c r="N5">
        <v>1.07</v>
      </c>
      <c r="O5">
        <v>2</v>
      </c>
      <c r="P5">
        <v>7</v>
      </c>
      <c r="Q5" t="s">
        <v>212</v>
      </c>
    </row>
    <row r="6" spans="1:17" x14ac:dyDescent="0.25">
      <c r="A6">
        <v>4</v>
      </c>
      <c r="B6">
        <v>7</v>
      </c>
      <c r="C6">
        <v>0.194038598925318</v>
      </c>
      <c r="D6">
        <v>0</v>
      </c>
      <c r="E6">
        <v>999</v>
      </c>
      <c r="F6">
        <f t="shared" si="0"/>
        <v>130</v>
      </c>
      <c r="G6">
        <v>0.6</v>
      </c>
      <c r="H6">
        <v>2.5000000000000001E-3</v>
      </c>
      <c r="I6">
        <v>0</v>
      </c>
      <c r="J6" t="s">
        <v>212</v>
      </c>
      <c r="L6">
        <v>5</v>
      </c>
      <c r="M6" s="5">
        <v>130000</v>
      </c>
      <c r="N6">
        <v>0.6</v>
      </c>
      <c r="O6">
        <v>4</v>
      </c>
      <c r="P6">
        <v>7</v>
      </c>
      <c r="Q6" t="s">
        <v>212</v>
      </c>
    </row>
    <row r="7" spans="1:17" x14ac:dyDescent="0.25">
      <c r="A7">
        <v>4</v>
      </c>
      <c r="B7">
        <v>12</v>
      </c>
      <c r="C7">
        <v>1.26033319364362</v>
      </c>
      <c r="D7">
        <v>0</v>
      </c>
      <c r="E7">
        <v>999</v>
      </c>
      <c r="F7">
        <f t="shared" si="0"/>
        <v>88</v>
      </c>
      <c r="G7">
        <v>1.173</v>
      </c>
      <c r="H7">
        <v>2.5000000000000001E-3</v>
      </c>
      <c r="I7">
        <v>0</v>
      </c>
      <c r="J7" t="s">
        <v>212</v>
      </c>
      <c r="L7">
        <v>6</v>
      </c>
      <c r="M7" s="5">
        <v>88000</v>
      </c>
      <c r="N7">
        <v>1.173</v>
      </c>
      <c r="O7">
        <v>4</v>
      </c>
      <c r="P7">
        <v>12</v>
      </c>
      <c r="Q7" t="s">
        <v>212</v>
      </c>
    </row>
    <row r="8" spans="1:17" x14ac:dyDescent="0.25">
      <c r="A8">
        <v>11</v>
      </c>
      <c r="B8">
        <v>13</v>
      </c>
      <c r="C8">
        <v>1.78238029555981</v>
      </c>
      <c r="D8">
        <v>0</v>
      </c>
      <c r="E8">
        <v>999</v>
      </c>
      <c r="F8">
        <f t="shared" si="0"/>
        <v>44</v>
      </c>
      <c r="G8">
        <v>1.173</v>
      </c>
      <c r="H8">
        <v>2.5000000000000001E-3</v>
      </c>
      <c r="I8">
        <v>0</v>
      </c>
      <c r="J8" t="s">
        <v>212</v>
      </c>
      <c r="L8">
        <v>7</v>
      </c>
      <c r="M8" s="5">
        <v>44000</v>
      </c>
      <c r="N8">
        <v>1.173</v>
      </c>
      <c r="O8">
        <v>11</v>
      </c>
      <c r="P8">
        <v>13</v>
      </c>
      <c r="Q8" t="s">
        <v>212</v>
      </c>
    </row>
    <row r="9" spans="1:17" x14ac:dyDescent="0.25">
      <c r="A9">
        <v>6</v>
      </c>
      <c r="B9">
        <v>10</v>
      </c>
      <c r="C9">
        <v>0.74952635678008295</v>
      </c>
      <c r="D9">
        <v>0</v>
      </c>
      <c r="E9">
        <v>999</v>
      </c>
      <c r="F9">
        <f t="shared" si="0"/>
        <v>143</v>
      </c>
      <c r="G9">
        <v>1.05</v>
      </c>
      <c r="H9">
        <v>2.5000000000000001E-3</v>
      </c>
      <c r="I9">
        <v>0</v>
      </c>
      <c r="J9" t="s">
        <v>212</v>
      </c>
      <c r="L9">
        <v>8</v>
      </c>
      <c r="M9" s="5">
        <v>143000</v>
      </c>
      <c r="N9">
        <v>1.05</v>
      </c>
      <c r="O9">
        <v>6</v>
      </c>
      <c r="P9">
        <v>10</v>
      </c>
      <c r="Q9" t="s">
        <v>212</v>
      </c>
    </row>
    <row r="10" spans="1:17" x14ac:dyDescent="0.25">
      <c r="A10">
        <v>8</v>
      </c>
      <c r="B10">
        <v>10</v>
      </c>
      <c r="C10">
        <v>1.9967432025563501</v>
      </c>
      <c r="D10">
        <v>0</v>
      </c>
      <c r="E10">
        <v>999</v>
      </c>
      <c r="F10">
        <f t="shared" si="0"/>
        <v>30</v>
      </c>
      <c r="G10">
        <v>1.137</v>
      </c>
      <c r="H10">
        <v>2.5000000000000001E-3</v>
      </c>
      <c r="I10">
        <v>0</v>
      </c>
      <c r="J10" t="s">
        <v>212</v>
      </c>
      <c r="L10">
        <v>9</v>
      </c>
      <c r="M10" s="5">
        <v>30000</v>
      </c>
      <c r="N10">
        <v>1.137</v>
      </c>
      <c r="O10">
        <v>8</v>
      </c>
      <c r="P10">
        <v>10</v>
      </c>
      <c r="Q10" t="s">
        <v>212</v>
      </c>
    </row>
    <row r="11" spans="1:17" x14ac:dyDescent="0.25">
      <c r="A11">
        <v>13</v>
      </c>
      <c r="B11">
        <v>10</v>
      </c>
      <c r="C11">
        <v>0.59215448263980497</v>
      </c>
      <c r="D11">
        <v>0</v>
      </c>
      <c r="E11">
        <v>999</v>
      </c>
      <c r="F11">
        <f t="shared" si="0"/>
        <v>106</v>
      </c>
      <c r="G11">
        <v>0.9</v>
      </c>
      <c r="H11">
        <v>2.5000000000000001E-3</v>
      </c>
      <c r="I11">
        <v>0</v>
      </c>
      <c r="J11" t="s">
        <v>212</v>
      </c>
      <c r="L11">
        <v>10</v>
      </c>
      <c r="M11" s="5">
        <v>106000</v>
      </c>
      <c r="N11">
        <v>0.9</v>
      </c>
      <c r="O11">
        <v>13</v>
      </c>
      <c r="P11">
        <v>10</v>
      </c>
      <c r="Q11" t="s">
        <v>212</v>
      </c>
    </row>
    <row r="12" spans="1:17" x14ac:dyDescent="0.25">
      <c r="A12">
        <v>13</v>
      </c>
      <c r="B12">
        <v>16</v>
      </c>
      <c r="C12">
        <v>1.1649521794927</v>
      </c>
      <c r="D12">
        <v>0</v>
      </c>
      <c r="E12">
        <v>999</v>
      </c>
      <c r="F12">
        <f t="shared" si="0"/>
        <v>103</v>
      </c>
      <c r="G12">
        <v>1.173</v>
      </c>
      <c r="H12">
        <v>2.5000000000000001E-3</v>
      </c>
      <c r="I12">
        <v>0</v>
      </c>
      <c r="J12" t="s">
        <v>212</v>
      </c>
      <c r="L12">
        <v>11</v>
      </c>
      <c r="M12" s="5">
        <v>103000</v>
      </c>
      <c r="N12">
        <v>1.173</v>
      </c>
      <c r="O12">
        <v>13</v>
      </c>
      <c r="P12">
        <v>16</v>
      </c>
      <c r="Q12" t="s">
        <v>212</v>
      </c>
    </row>
    <row r="13" spans="1:17" x14ac:dyDescent="0.25">
      <c r="A13">
        <v>9</v>
      </c>
      <c r="B13">
        <v>17</v>
      </c>
      <c r="C13">
        <v>1.28135018341202</v>
      </c>
      <c r="D13">
        <v>0</v>
      </c>
      <c r="E13">
        <v>999</v>
      </c>
      <c r="F13">
        <f t="shared" si="0"/>
        <v>95</v>
      </c>
      <c r="G13">
        <v>1.1990000000000001</v>
      </c>
      <c r="H13">
        <v>2.5000000000000001E-3</v>
      </c>
      <c r="I13">
        <v>0</v>
      </c>
      <c r="J13" t="s">
        <v>212</v>
      </c>
      <c r="L13">
        <v>12</v>
      </c>
      <c r="M13" s="5">
        <v>95000</v>
      </c>
      <c r="N13">
        <v>1.1990000000000001</v>
      </c>
      <c r="O13">
        <v>9</v>
      </c>
      <c r="P13">
        <v>17</v>
      </c>
      <c r="Q13" t="s">
        <v>212</v>
      </c>
    </row>
    <row r="14" spans="1:17" x14ac:dyDescent="0.25">
      <c r="A14">
        <v>14</v>
      </c>
      <c r="B14">
        <v>16</v>
      </c>
      <c r="C14">
        <v>1.2550754653480301</v>
      </c>
      <c r="D14">
        <v>0</v>
      </c>
      <c r="E14">
        <v>999</v>
      </c>
      <c r="F14">
        <f t="shared" si="0"/>
        <v>51</v>
      </c>
      <c r="G14">
        <v>1.05</v>
      </c>
      <c r="H14">
        <v>2.5000000000000001E-3</v>
      </c>
      <c r="I14">
        <v>0</v>
      </c>
      <c r="J14" t="s">
        <v>212</v>
      </c>
      <c r="L14">
        <v>13</v>
      </c>
      <c r="M14" s="5">
        <v>51000</v>
      </c>
      <c r="N14">
        <v>1.05</v>
      </c>
      <c r="O14">
        <v>14</v>
      </c>
      <c r="P14">
        <v>16</v>
      </c>
      <c r="Q14" t="s">
        <v>212</v>
      </c>
    </row>
    <row r="15" spans="1:17" x14ac:dyDescent="0.25">
      <c r="A15">
        <v>15</v>
      </c>
      <c r="B15">
        <v>17</v>
      </c>
      <c r="C15">
        <v>1.29775682378076</v>
      </c>
      <c r="D15">
        <v>0</v>
      </c>
      <c r="E15">
        <v>999</v>
      </c>
      <c r="F15">
        <f t="shared" si="0"/>
        <v>93</v>
      </c>
      <c r="G15">
        <v>1.2</v>
      </c>
      <c r="H15">
        <v>2.5000000000000001E-3</v>
      </c>
      <c r="I15">
        <v>0</v>
      </c>
      <c r="J15" t="s">
        <v>212</v>
      </c>
      <c r="L15">
        <v>14</v>
      </c>
      <c r="M15" s="5">
        <v>93000</v>
      </c>
      <c r="N15">
        <v>1.2</v>
      </c>
      <c r="O15">
        <v>15</v>
      </c>
      <c r="P15">
        <v>17</v>
      </c>
      <c r="Q15" t="s">
        <v>212</v>
      </c>
    </row>
    <row r="16" spans="1:17" x14ac:dyDescent="0.25">
      <c r="A16">
        <v>17</v>
      </c>
      <c r="B16">
        <v>19</v>
      </c>
      <c r="C16">
        <v>1.4958421801363999</v>
      </c>
      <c r="D16">
        <v>0</v>
      </c>
      <c r="E16">
        <v>999</v>
      </c>
      <c r="F16">
        <f t="shared" si="0"/>
        <v>70</v>
      </c>
      <c r="G16">
        <v>1.2</v>
      </c>
      <c r="H16">
        <v>2.5000000000000001E-3</v>
      </c>
      <c r="I16">
        <v>0</v>
      </c>
      <c r="J16" t="s">
        <v>212</v>
      </c>
      <c r="L16">
        <v>15</v>
      </c>
      <c r="M16" s="5">
        <v>70000</v>
      </c>
      <c r="N16">
        <v>1.2</v>
      </c>
      <c r="O16">
        <v>17</v>
      </c>
      <c r="P16">
        <v>19</v>
      </c>
      <c r="Q16" t="s">
        <v>212</v>
      </c>
    </row>
    <row r="17" spans="1:17" x14ac:dyDescent="0.25">
      <c r="A17">
        <v>9</v>
      </c>
      <c r="B17">
        <v>19</v>
      </c>
      <c r="C17">
        <v>0.33639371507282401</v>
      </c>
      <c r="D17">
        <v>0</v>
      </c>
      <c r="E17">
        <v>999</v>
      </c>
      <c r="F17">
        <f t="shared" si="0"/>
        <v>132</v>
      </c>
      <c r="G17">
        <v>0.75</v>
      </c>
      <c r="H17">
        <v>2.5000000000000001E-3</v>
      </c>
      <c r="I17">
        <v>0</v>
      </c>
      <c r="J17" t="s">
        <v>212</v>
      </c>
      <c r="L17">
        <v>16</v>
      </c>
      <c r="M17" s="5">
        <v>132000</v>
      </c>
      <c r="N17">
        <v>0.75</v>
      </c>
      <c r="O17">
        <v>9</v>
      </c>
      <c r="P17">
        <v>19</v>
      </c>
      <c r="Q17" t="s">
        <v>212</v>
      </c>
    </row>
    <row r="18" spans="1:17" x14ac:dyDescent="0.25">
      <c r="A18">
        <v>19</v>
      </c>
      <c r="B18">
        <v>18</v>
      </c>
      <c r="C18">
        <v>7.6387829788804398</v>
      </c>
      <c r="D18">
        <v>0</v>
      </c>
      <c r="E18">
        <v>999</v>
      </c>
      <c r="F18">
        <f t="shared" si="0"/>
        <v>28</v>
      </c>
      <c r="G18">
        <v>1.9179999999999999</v>
      </c>
      <c r="H18">
        <v>2.5000000000000001E-3</v>
      </c>
      <c r="I18">
        <v>0</v>
      </c>
      <c r="J18" t="s">
        <v>212</v>
      </c>
      <c r="L18">
        <v>17</v>
      </c>
      <c r="M18" s="5">
        <v>28000</v>
      </c>
      <c r="N18">
        <v>1.9179999999999999</v>
      </c>
      <c r="O18">
        <v>19</v>
      </c>
      <c r="P18">
        <v>18</v>
      </c>
      <c r="Q18" t="s">
        <v>212</v>
      </c>
    </row>
    <row r="19" spans="1:17" x14ac:dyDescent="0.25">
      <c r="A19">
        <v>19</v>
      </c>
      <c r="B19">
        <v>24</v>
      </c>
      <c r="C19">
        <v>3.74138840040853</v>
      </c>
      <c r="D19">
        <v>0</v>
      </c>
      <c r="E19">
        <v>999</v>
      </c>
      <c r="F19">
        <f t="shared" si="0"/>
        <v>60</v>
      </c>
      <c r="G19">
        <v>1.679</v>
      </c>
      <c r="H19">
        <v>2.5000000000000001E-3</v>
      </c>
      <c r="I19">
        <v>0</v>
      </c>
      <c r="J19" t="s">
        <v>212</v>
      </c>
      <c r="L19">
        <v>18</v>
      </c>
      <c r="M19" s="5">
        <v>60000</v>
      </c>
      <c r="N19">
        <v>1.679</v>
      </c>
      <c r="O19">
        <v>19</v>
      </c>
      <c r="P19">
        <v>24</v>
      </c>
      <c r="Q19" t="s">
        <v>212</v>
      </c>
    </row>
    <row r="20" spans="1:17" x14ac:dyDescent="0.25">
      <c r="A20">
        <v>17</v>
      </c>
      <c r="B20">
        <v>21</v>
      </c>
      <c r="C20">
        <v>0.762075442448367</v>
      </c>
      <c r="D20">
        <v>0</v>
      </c>
      <c r="E20">
        <v>999</v>
      </c>
      <c r="F20">
        <f t="shared" si="0"/>
        <v>64</v>
      </c>
      <c r="G20">
        <v>0.9</v>
      </c>
      <c r="H20">
        <v>2.5000000000000001E-3</v>
      </c>
      <c r="I20">
        <v>0</v>
      </c>
      <c r="J20" t="s">
        <v>212</v>
      </c>
      <c r="L20">
        <v>19</v>
      </c>
      <c r="M20" s="5">
        <v>64000</v>
      </c>
      <c r="N20">
        <v>0.9</v>
      </c>
      <c r="O20">
        <v>17</v>
      </c>
      <c r="P20">
        <v>21</v>
      </c>
      <c r="Q20" t="s">
        <v>212</v>
      </c>
    </row>
    <row r="21" spans="1:17" x14ac:dyDescent="0.25">
      <c r="A21">
        <v>20</v>
      </c>
      <c r="B21">
        <v>24</v>
      </c>
      <c r="C21">
        <v>0.85369525166982596</v>
      </c>
      <c r="D21">
        <v>0</v>
      </c>
      <c r="E21">
        <v>999</v>
      </c>
      <c r="F21">
        <f t="shared" si="0"/>
        <v>51</v>
      </c>
      <c r="G21">
        <v>0.9</v>
      </c>
      <c r="H21">
        <v>2.5000000000000001E-3</v>
      </c>
      <c r="I21">
        <v>0</v>
      </c>
      <c r="J21" t="s">
        <v>212</v>
      </c>
      <c r="L21">
        <v>20</v>
      </c>
      <c r="M21" s="5">
        <v>51000</v>
      </c>
      <c r="N21">
        <v>0.9</v>
      </c>
      <c r="O21">
        <v>20</v>
      </c>
      <c r="P21">
        <v>24</v>
      </c>
      <c r="Q21" t="s">
        <v>212</v>
      </c>
    </row>
    <row r="22" spans="1:17" x14ac:dyDescent="0.25">
      <c r="A22">
        <v>15</v>
      </c>
      <c r="B22">
        <v>44</v>
      </c>
      <c r="C22">
        <v>1.74612494736608</v>
      </c>
      <c r="D22">
        <v>0</v>
      </c>
      <c r="E22">
        <v>999</v>
      </c>
      <c r="F22">
        <f t="shared" si="0"/>
        <v>100</v>
      </c>
      <c r="G22">
        <v>1.371</v>
      </c>
      <c r="H22">
        <v>2.5000000000000001E-3</v>
      </c>
      <c r="I22">
        <v>0</v>
      </c>
      <c r="J22" t="s">
        <v>212</v>
      </c>
      <c r="L22">
        <v>21</v>
      </c>
      <c r="M22" s="5">
        <v>100000</v>
      </c>
      <c r="N22">
        <v>1.371</v>
      </c>
      <c r="O22">
        <v>15</v>
      </c>
      <c r="P22">
        <v>44</v>
      </c>
      <c r="Q22" t="s">
        <v>212</v>
      </c>
    </row>
    <row r="23" spans="1:17" x14ac:dyDescent="0.25">
      <c r="A23">
        <v>22</v>
      </c>
      <c r="B23">
        <v>24</v>
      </c>
      <c r="C23">
        <v>1.6331113985574199</v>
      </c>
      <c r="D23">
        <v>0</v>
      </c>
      <c r="E23">
        <v>999</v>
      </c>
      <c r="F23">
        <f t="shared" si="0"/>
        <v>35</v>
      </c>
      <c r="G23">
        <v>1.0820000000000001</v>
      </c>
      <c r="H23">
        <v>2.5000000000000001E-3</v>
      </c>
      <c r="I23">
        <v>0</v>
      </c>
      <c r="J23" t="s">
        <v>212</v>
      </c>
      <c r="L23">
        <v>22</v>
      </c>
      <c r="M23" s="5">
        <v>35000</v>
      </c>
      <c r="N23">
        <v>1.0820000000000001</v>
      </c>
      <c r="O23">
        <v>22</v>
      </c>
      <c r="P23">
        <v>24</v>
      </c>
      <c r="Q23" t="s">
        <v>212</v>
      </c>
    </row>
    <row r="24" spans="1:17" x14ac:dyDescent="0.25">
      <c r="A24">
        <v>44</v>
      </c>
      <c r="B24">
        <v>46</v>
      </c>
      <c r="C24">
        <v>1.03051408417497</v>
      </c>
      <c r="D24">
        <v>0</v>
      </c>
      <c r="E24">
        <v>999</v>
      </c>
      <c r="F24">
        <f t="shared" si="0"/>
        <v>35</v>
      </c>
      <c r="G24">
        <v>0.9</v>
      </c>
      <c r="H24">
        <v>2.5000000000000001E-3</v>
      </c>
      <c r="I24">
        <v>0</v>
      </c>
      <c r="J24" t="s">
        <v>212</v>
      </c>
      <c r="L24">
        <v>23</v>
      </c>
      <c r="M24" s="5">
        <v>35000</v>
      </c>
      <c r="N24">
        <v>0.9</v>
      </c>
      <c r="O24">
        <v>44</v>
      </c>
      <c r="P24">
        <v>46</v>
      </c>
      <c r="Q24" t="s">
        <v>212</v>
      </c>
    </row>
    <row r="25" spans="1:17" x14ac:dyDescent="0.25">
      <c r="A25">
        <v>46</v>
      </c>
      <c r="B25">
        <v>47</v>
      </c>
      <c r="C25">
        <v>3.3344207668014101</v>
      </c>
      <c r="D25">
        <v>0</v>
      </c>
      <c r="E25">
        <v>999</v>
      </c>
      <c r="F25">
        <f t="shared" si="0"/>
        <v>50</v>
      </c>
      <c r="G25">
        <v>1.546</v>
      </c>
      <c r="H25">
        <v>2.5000000000000001E-3</v>
      </c>
      <c r="I25">
        <v>0</v>
      </c>
      <c r="J25" t="s">
        <v>212</v>
      </c>
      <c r="L25">
        <v>24</v>
      </c>
      <c r="M25" s="5">
        <v>50000</v>
      </c>
      <c r="N25">
        <v>1.546</v>
      </c>
      <c r="O25">
        <v>46</v>
      </c>
      <c r="P25">
        <v>47</v>
      </c>
      <c r="Q25" t="s">
        <v>212</v>
      </c>
    </row>
    <row r="26" spans="1:17" x14ac:dyDescent="0.25">
      <c r="A26">
        <v>47</v>
      </c>
      <c r="B26">
        <v>49</v>
      </c>
      <c r="C26">
        <v>1.78616478207183</v>
      </c>
      <c r="D26">
        <v>0</v>
      </c>
      <c r="E26">
        <v>999</v>
      </c>
      <c r="F26">
        <f t="shared" si="0"/>
        <v>67</v>
      </c>
      <c r="G26">
        <v>1.2769999999999999</v>
      </c>
      <c r="H26">
        <v>2.5000000000000001E-3</v>
      </c>
      <c r="I26">
        <v>0</v>
      </c>
      <c r="J26" t="s">
        <v>212</v>
      </c>
      <c r="L26">
        <v>25</v>
      </c>
      <c r="M26" s="5">
        <v>67000</v>
      </c>
      <c r="N26">
        <v>1.2769999999999999</v>
      </c>
      <c r="O26">
        <v>47</v>
      </c>
      <c r="P26">
        <v>49</v>
      </c>
      <c r="Q26" t="s">
        <v>212</v>
      </c>
    </row>
    <row r="27" spans="1:17" x14ac:dyDescent="0.25">
      <c r="A27">
        <v>23</v>
      </c>
      <c r="B27">
        <v>31</v>
      </c>
      <c r="C27">
        <v>1.8939384212035</v>
      </c>
      <c r="D27">
        <v>0</v>
      </c>
      <c r="E27">
        <v>999</v>
      </c>
      <c r="F27">
        <f t="shared" si="0"/>
        <v>85</v>
      </c>
      <c r="G27">
        <v>1.371</v>
      </c>
      <c r="H27">
        <v>2.5000000000000001E-3</v>
      </c>
      <c r="I27">
        <v>0</v>
      </c>
      <c r="J27" t="s">
        <v>212</v>
      </c>
      <c r="L27">
        <v>26</v>
      </c>
      <c r="M27" s="5">
        <v>85000</v>
      </c>
      <c r="N27">
        <v>1.371</v>
      </c>
      <c r="O27">
        <v>23</v>
      </c>
      <c r="P27">
        <v>31</v>
      </c>
      <c r="Q27" t="s">
        <v>212</v>
      </c>
    </row>
    <row r="28" spans="1:17" x14ac:dyDescent="0.25">
      <c r="A28">
        <v>28</v>
      </c>
      <c r="B28">
        <v>24</v>
      </c>
      <c r="C28">
        <v>0.69030441741589399</v>
      </c>
      <c r="D28">
        <v>0</v>
      </c>
      <c r="E28">
        <v>999</v>
      </c>
      <c r="F28">
        <f t="shared" si="0"/>
        <v>78</v>
      </c>
      <c r="G28">
        <v>0.9</v>
      </c>
      <c r="H28">
        <v>2.5000000000000001E-3</v>
      </c>
      <c r="I28">
        <v>0</v>
      </c>
      <c r="J28" t="s">
        <v>212</v>
      </c>
      <c r="L28">
        <v>27</v>
      </c>
      <c r="M28" s="5">
        <v>78000</v>
      </c>
      <c r="N28">
        <v>0.9</v>
      </c>
      <c r="O28">
        <v>28</v>
      </c>
      <c r="P28">
        <v>24</v>
      </c>
      <c r="Q28" t="s">
        <v>212</v>
      </c>
    </row>
    <row r="29" spans="1:17" x14ac:dyDescent="0.25">
      <c r="A29">
        <v>26</v>
      </c>
      <c r="B29">
        <v>29</v>
      </c>
      <c r="C29">
        <v>4.3783089654207501</v>
      </c>
      <c r="D29">
        <v>0</v>
      </c>
      <c r="E29">
        <v>999</v>
      </c>
      <c r="F29">
        <f t="shared" si="0"/>
        <v>29</v>
      </c>
      <c r="G29">
        <v>1.546</v>
      </c>
      <c r="H29">
        <v>2.5000000000000001E-3</v>
      </c>
      <c r="I29">
        <v>0</v>
      </c>
      <c r="J29" t="s">
        <v>212</v>
      </c>
      <c r="L29">
        <v>28</v>
      </c>
      <c r="M29" s="5">
        <v>29000</v>
      </c>
      <c r="N29">
        <v>1.546</v>
      </c>
      <c r="O29">
        <v>26</v>
      </c>
      <c r="P29">
        <v>29</v>
      </c>
      <c r="Q29" t="s">
        <v>212</v>
      </c>
    </row>
    <row r="30" spans="1:17" x14ac:dyDescent="0.25">
      <c r="A30">
        <v>28</v>
      </c>
      <c r="B30">
        <v>31</v>
      </c>
      <c r="C30">
        <v>1.8693762247872501</v>
      </c>
      <c r="D30">
        <v>0</v>
      </c>
      <c r="E30">
        <v>999</v>
      </c>
      <c r="F30">
        <f t="shared" si="0"/>
        <v>40</v>
      </c>
      <c r="G30">
        <v>1.173</v>
      </c>
      <c r="H30">
        <v>2.5000000000000001E-3</v>
      </c>
      <c r="I30">
        <v>0</v>
      </c>
      <c r="J30" t="s">
        <v>212</v>
      </c>
      <c r="L30">
        <v>29</v>
      </c>
      <c r="M30" s="5">
        <v>40000</v>
      </c>
      <c r="N30">
        <v>1.173</v>
      </c>
      <c r="O30">
        <v>28</v>
      </c>
      <c r="P30">
        <v>31</v>
      </c>
      <c r="Q30" t="s">
        <v>212</v>
      </c>
    </row>
    <row r="31" spans="1:17" x14ac:dyDescent="0.25">
      <c r="A31">
        <v>25</v>
      </c>
      <c r="B31">
        <v>27</v>
      </c>
      <c r="C31">
        <v>2.8592422188812101</v>
      </c>
      <c r="D31">
        <v>0</v>
      </c>
      <c r="E31">
        <v>999</v>
      </c>
      <c r="F31">
        <f t="shared" si="0"/>
        <v>68</v>
      </c>
      <c r="G31">
        <v>1.546</v>
      </c>
      <c r="H31">
        <v>2.5000000000000001E-3</v>
      </c>
      <c r="I31">
        <v>0</v>
      </c>
      <c r="J31" t="s">
        <v>212</v>
      </c>
      <c r="L31">
        <v>30</v>
      </c>
      <c r="M31" s="5">
        <v>68000</v>
      </c>
      <c r="N31">
        <v>1.546</v>
      </c>
      <c r="O31">
        <v>25</v>
      </c>
      <c r="P31">
        <v>27</v>
      </c>
      <c r="Q31" t="s">
        <v>212</v>
      </c>
    </row>
    <row r="32" spans="1:17" x14ac:dyDescent="0.25">
      <c r="A32">
        <v>30</v>
      </c>
      <c r="B32">
        <v>33</v>
      </c>
      <c r="C32">
        <v>0.81469291671884303</v>
      </c>
      <c r="D32">
        <v>0</v>
      </c>
      <c r="E32">
        <v>999</v>
      </c>
      <c r="F32">
        <f t="shared" si="0"/>
        <v>56</v>
      </c>
      <c r="G32">
        <v>0.9</v>
      </c>
      <c r="H32">
        <v>2.5000000000000001E-3</v>
      </c>
      <c r="I32">
        <v>0</v>
      </c>
      <c r="J32" t="s">
        <v>212</v>
      </c>
      <c r="L32">
        <v>31</v>
      </c>
      <c r="M32" s="5">
        <v>56000</v>
      </c>
      <c r="N32">
        <v>0.9</v>
      </c>
      <c r="O32">
        <v>30</v>
      </c>
      <c r="P32">
        <v>33</v>
      </c>
      <c r="Q32" t="s">
        <v>212</v>
      </c>
    </row>
    <row r="33" spans="1:17" x14ac:dyDescent="0.25">
      <c r="A33">
        <v>30</v>
      </c>
      <c r="B33">
        <v>38</v>
      </c>
      <c r="C33">
        <v>2.6725374250611602</v>
      </c>
      <c r="D33">
        <v>0</v>
      </c>
      <c r="E33">
        <v>999</v>
      </c>
      <c r="F33">
        <f t="shared" si="0"/>
        <v>43</v>
      </c>
      <c r="G33">
        <v>1.373</v>
      </c>
      <c r="H33">
        <v>2.5000000000000001E-3</v>
      </c>
      <c r="I33">
        <v>0</v>
      </c>
      <c r="J33" t="s">
        <v>212</v>
      </c>
      <c r="L33">
        <v>32</v>
      </c>
      <c r="M33" s="5">
        <v>43000</v>
      </c>
      <c r="N33">
        <v>1.373</v>
      </c>
      <c r="O33">
        <v>30</v>
      </c>
      <c r="P33">
        <v>38</v>
      </c>
      <c r="Q33" t="s">
        <v>212</v>
      </c>
    </row>
    <row r="34" spans="1:17" x14ac:dyDescent="0.25">
      <c r="A34">
        <v>30</v>
      </c>
      <c r="B34">
        <v>49</v>
      </c>
      <c r="C34">
        <v>0.59496758390211801</v>
      </c>
      <c r="D34">
        <v>0</v>
      </c>
      <c r="E34">
        <v>999</v>
      </c>
      <c r="F34">
        <f t="shared" si="0"/>
        <v>105</v>
      </c>
      <c r="G34">
        <v>0.9</v>
      </c>
      <c r="H34">
        <v>2.5000000000000001E-3</v>
      </c>
      <c r="I34">
        <v>0</v>
      </c>
      <c r="J34" t="s">
        <v>212</v>
      </c>
      <c r="L34">
        <v>33</v>
      </c>
      <c r="M34" s="5">
        <v>105000</v>
      </c>
      <c r="N34">
        <v>0.9</v>
      </c>
      <c r="O34">
        <v>30</v>
      </c>
      <c r="P34">
        <v>49</v>
      </c>
      <c r="Q34" t="s">
        <v>212</v>
      </c>
    </row>
    <row r="35" spans="1:17" x14ac:dyDescent="0.25">
      <c r="A35">
        <v>30</v>
      </c>
      <c r="B35">
        <v>51</v>
      </c>
      <c r="C35">
        <v>0.72353372580615005</v>
      </c>
      <c r="D35">
        <v>0</v>
      </c>
      <c r="E35">
        <v>999</v>
      </c>
      <c r="F35">
        <f t="shared" si="0"/>
        <v>71</v>
      </c>
      <c r="G35">
        <v>0.9</v>
      </c>
      <c r="H35">
        <v>2.5000000000000001E-3</v>
      </c>
      <c r="I35">
        <v>0</v>
      </c>
      <c r="J35" t="s">
        <v>212</v>
      </c>
      <c r="L35">
        <v>34</v>
      </c>
      <c r="M35" s="5">
        <v>71000</v>
      </c>
      <c r="N35">
        <v>0.9</v>
      </c>
      <c r="O35">
        <v>30</v>
      </c>
      <c r="P35">
        <v>51</v>
      </c>
      <c r="Q35" t="s">
        <v>212</v>
      </c>
    </row>
    <row r="36" spans="1:17" x14ac:dyDescent="0.25">
      <c r="A36">
        <v>48</v>
      </c>
      <c r="B36">
        <v>51</v>
      </c>
      <c r="C36">
        <v>0.85369525166982596</v>
      </c>
      <c r="D36">
        <v>0</v>
      </c>
      <c r="E36">
        <v>999</v>
      </c>
      <c r="F36">
        <f t="shared" si="0"/>
        <v>51</v>
      </c>
      <c r="G36">
        <v>0.9</v>
      </c>
      <c r="H36">
        <v>2.5000000000000001E-3</v>
      </c>
      <c r="I36">
        <v>0</v>
      </c>
      <c r="J36" t="s">
        <v>212</v>
      </c>
      <c r="L36">
        <v>35</v>
      </c>
      <c r="M36" s="5">
        <v>51000</v>
      </c>
      <c r="N36">
        <v>0.9</v>
      </c>
      <c r="O36">
        <v>48</v>
      </c>
      <c r="P36">
        <v>51</v>
      </c>
      <c r="Q36" t="s">
        <v>212</v>
      </c>
    </row>
    <row r="37" spans="1:17" x14ac:dyDescent="0.25">
      <c r="A37">
        <v>32</v>
      </c>
      <c r="B37">
        <v>38</v>
      </c>
      <c r="C37">
        <v>0.95212950952068298</v>
      </c>
      <c r="D37">
        <v>0</v>
      </c>
      <c r="E37">
        <v>999</v>
      </c>
      <c r="F37">
        <f t="shared" si="0"/>
        <v>41</v>
      </c>
      <c r="G37">
        <v>0.9</v>
      </c>
      <c r="H37">
        <v>2.5000000000000001E-3</v>
      </c>
      <c r="I37">
        <v>0</v>
      </c>
      <c r="J37" t="s">
        <v>212</v>
      </c>
      <c r="L37">
        <v>36</v>
      </c>
      <c r="M37" s="5">
        <v>41000</v>
      </c>
      <c r="N37">
        <v>0.9</v>
      </c>
      <c r="O37">
        <v>32</v>
      </c>
      <c r="P37">
        <v>38</v>
      </c>
      <c r="Q37" t="s">
        <v>212</v>
      </c>
    </row>
    <row r="38" spans="1:17" x14ac:dyDescent="0.25">
      <c r="A38">
        <v>25</v>
      </c>
      <c r="B38">
        <v>33</v>
      </c>
      <c r="C38">
        <v>1.0949823200650199</v>
      </c>
      <c r="D38">
        <v>0</v>
      </c>
      <c r="E38">
        <v>999</v>
      </c>
      <c r="F38">
        <f t="shared" si="0"/>
        <v>31</v>
      </c>
      <c r="G38">
        <v>0.9</v>
      </c>
      <c r="H38">
        <v>2.5000000000000001E-3</v>
      </c>
      <c r="I38">
        <v>0</v>
      </c>
      <c r="J38" t="s">
        <v>212</v>
      </c>
      <c r="L38">
        <v>37</v>
      </c>
      <c r="M38" s="5">
        <v>31000</v>
      </c>
      <c r="N38">
        <v>0.9</v>
      </c>
      <c r="O38">
        <v>25</v>
      </c>
      <c r="P38">
        <v>33</v>
      </c>
      <c r="Q38" t="s">
        <v>212</v>
      </c>
    </row>
    <row r="39" spans="1:17" x14ac:dyDescent="0.25">
      <c r="A39">
        <v>35</v>
      </c>
      <c r="B39">
        <v>25</v>
      </c>
      <c r="C39">
        <v>0.54529679785528895</v>
      </c>
      <c r="D39">
        <v>0</v>
      </c>
      <c r="E39">
        <v>999</v>
      </c>
      <c r="F39">
        <f t="shared" si="0"/>
        <v>125</v>
      </c>
      <c r="G39">
        <v>0.9</v>
      </c>
      <c r="H39">
        <v>2.5000000000000001E-3</v>
      </c>
      <c r="I39">
        <v>0</v>
      </c>
      <c r="J39" t="s">
        <v>212</v>
      </c>
      <c r="L39">
        <v>38</v>
      </c>
      <c r="M39" s="5">
        <v>125000</v>
      </c>
      <c r="N39">
        <v>0.9</v>
      </c>
      <c r="O39">
        <v>35</v>
      </c>
      <c r="P39">
        <v>25</v>
      </c>
      <c r="Q39" t="s">
        <v>212</v>
      </c>
    </row>
    <row r="40" spans="1:17" x14ac:dyDescent="0.25">
      <c r="A40">
        <v>32</v>
      </c>
      <c r="B40">
        <v>35</v>
      </c>
      <c r="C40">
        <v>0.68162099731911097</v>
      </c>
      <c r="D40">
        <v>0</v>
      </c>
      <c r="E40">
        <v>999</v>
      </c>
      <c r="F40">
        <f t="shared" si="0"/>
        <v>80</v>
      </c>
      <c r="G40">
        <v>0.9</v>
      </c>
      <c r="H40">
        <v>2.5000000000000001E-3</v>
      </c>
      <c r="I40">
        <v>0</v>
      </c>
      <c r="J40" t="s">
        <v>212</v>
      </c>
      <c r="L40">
        <v>39</v>
      </c>
      <c r="M40" s="5">
        <v>80000</v>
      </c>
      <c r="N40">
        <v>0.9</v>
      </c>
      <c r="O40">
        <v>32</v>
      </c>
      <c r="P40">
        <v>35</v>
      </c>
      <c r="Q40" t="s">
        <v>212</v>
      </c>
    </row>
    <row r="41" spans="1:17" x14ac:dyDescent="0.25">
      <c r="A41">
        <v>34</v>
      </c>
      <c r="B41">
        <v>37</v>
      </c>
      <c r="C41">
        <v>1.58836010454635</v>
      </c>
      <c r="D41">
        <v>0</v>
      </c>
      <c r="E41">
        <v>999</v>
      </c>
      <c r="F41">
        <f t="shared" si="0"/>
        <v>37</v>
      </c>
      <c r="G41">
        <v>1.0820000000000001</v>
      </c>
      <c r="H41">
        <v>2.5000000000000001E-3</v>
      </c>
      <c r="I41">
        <v>0</v>
      </c>
      <c r="J41" t="s">
        <v>212</v>
      </c>
      <c r="L41">
        <v>40</v>
      </c>
      <c r="M41" s="5">
        <v>37000</v>
      </c>
      <c r="N41">
        <v>1.0820000000000001</v>
      </c>
      <c r="O41">
        <v>34</v>
      </c>
      <c r="P41">
        <v>37</v>
      </c>
      <c r="Q41" t="s">
        <v>212</v>
      </c>
    </row>
    <row r="42" spans="1:17" x14ac:dyDescent="0.25">
      <c r="A42">
        <v>37</v>
      </c>
      <c r="B42">
        <v>36</v>
      </c>
      <c r="C42">
        <v>1.6875983518167801</v>
      </c>
      <c r="D42">
        <v>0</v>
      </c>
      <c r="E42">
        <v>999</v>
      </c>
      <c r="F42">
        <f t="shared" si="0"/>
        <v>23</v>
      </c>
      <c r="G42">
        <v>1.008</v>
      </c>
      <c r="H42">
        <v>2.5000000000000001E-3</v>
      </c>
      <c r="I42">
        <v>0</v>
      </c>
      <c r="J42" t="s">
        <v>212</v>
      </c>
      <c r="L42">
        <v>41</v>
      </c>
      <c r="M42" s="5">
        <v>23000</v>
      </c>
      <c r="N42">
        <v>1.008</v>
      </c>
      <c r="O42">
        <v>37</v>
      </c>
      <c r="P42">
        <v>36</v>
      </c>
      <c r="Q42" t="s">
        <v>212</v>
      </c>
    </row>
    <row r="43" spans="1:17" x14ac:dyDescent="0.25">
      <c r="A43">
        <v>38</v>
      </c>
      <c r="B43">
        <v>40</v>
      </c>
      <c r="C43">
        <v>1.8029865326793499</v>
      </c>
      <c r="D43">
        <v>0</v>
      </c>
      <c r="E43">
        <v>999</v>
      </c>
      <c r="F43">
        <f t="shared" si="0"/>
        <v>43</v>
      </c>
      <c r="G43">
        <v>1.173</v>
      </c>
      <c r="H43">
        <v>2.5000000000000001E-3</v>
      </c>
      <c r="I43">
        <v>0</v>
      </c>
      <c r="J43" t="s">
        <v>212</v>
      </c>
      <c r="L43">
        <v>42</v>
      </c>
      <c r="M43" s="5">
        <v>43000</v>
      </c>
      <c r="N43">
        <v>1.173</v>
      </c>
      <c r="O43">
        <v>38</v>
      </c>
      <c r="P43">
        <v>40</v>
      </c>
      <c r="Q43" t="s">
        <v>212</v>
      </c>
    </row>
    <row r="44" spans="1:17" x14ac:dyDescent="0.25">
      <c r="A44">
        <v>39</v>
      </c>
      <c r="B44">
        <v>42</v>
      </c>
      <c r="C44">
        <v>0.65886688340997401</v>
      </c>
      <c r="D44">
        <v>0</v>
      </c>
      <c r="E44">
        <v>999</v>
      </c>
      <c r="F44">
        <f t="shared" si="0"/>
        <v>145</v>
      </c>
      <c r="G44">
        <v>1</v>
      </c>
      <c r="H44">
        <v>2.5000000000000001E-3</v>
      </c>
      <c r="I44">
        <v>0</v>
      </c>
      <c r="J44" t="s">
        <v>212</v>
      </c>
      <c r="L44">
        <v>43</v>
      </c>
      <c r="M44" s="5">
        <v>145000</v>
      </c>
      <c r="N44">
        <v>1</v>
      </c>
      <c r="O44">
        <v>39</v>
      </c>
      <c r="P44">
        <v>42</v>
      </c>
      <c r="Q44" t="s">
        <v>212</v>
      </c>
    </row>
    <row r="45" spans="1:17" x14ac:dyDescent="0.25">
      <c r="A45">
        <v>41</v>
      </c>
      <c r="B45">
        <v>43</v>
      </c>
      <c r="C45">
        <v>0.33024854523448</v>
      </c>
      <c r="D45">
        <v>0</v>
      </c>
      <c r="E45">
        <v>999</v>
      </c>
      <c r="F45">
        <f t="shared" si="0"/>
        <v>97</v>
      </c>
      <c r="G45">
        <v>0.7</v>
      </c>
      <c r="H45">
        <v>2.5000000000000001E-3</v>
      </c>
      <c r="I45">
        <v>0</v>
      </c>
      <c r="J45" t="s">
        <v>212</v>
      </c>
      <c r="L45">
        <v>44</v>
      </c>
      <c r="M45" s="5">
        <v>97000</v>
      </c>
      <c r="N45">
        <v>0.7</v>
      </c>
      <c r="O45">
        <v>41</v>
      </c>
      <c r="P45">
        <v>43</v>
      </c>
      <c r="Q45" t="s">
        <v>212</v>
      </c>
    </row>
    <row r="46" spans="1:17" x14ac:dyDescent="0.25">
      <c r="A46">
        <v>60</v>
      </c>
      <c r="B46">
        <v>43</v>
      </c>
      <c r="C46">
        <v>0.13913530344989999</v>
      </c>
      <c r="D46">
        <v>0</v>
      </c>
      <c r="E46">
        <v>999</v>
      </c>
      <c r="F46">
        <f t="shared" si="0"/>
        <v>60</v>
      </c>
      <c r="G46">
        <v>0.45</v>
      </c>
      <c r="H46">
        <v>2.5000000000000001E-3</v>
      </c>
      <c r="I46">
        <v>0</v>
      </c>
      <c r="J46" t="s">
        <v>212</v>
      </c>
      <c r="L46">
        <v>45</v>
      </c>
      <c r="M46" s="5">
        <v>60000</v>
      </c>
      <c r="N46">
        <v>0.45</v>
      </c>
      <c r="O46">
        <v>60</v>
      </c>
      <c r="P46">
        <v>43</v>
      </c>
      <c r="Q46" t="s">
        <v>212</v>
      </c>
    </row>
    <row r="47" spans="1:17" x14ac:dyDescent="0.25">
      <c r="A47">
        <v>52</v>
      </c>
      <c r="B47">
        <v>60</v>
      </c>
      <c r="C47">
        <v>0.26443003728983</v>
      </c>
      <c r="D47">
        <v>0</v>
      </c>
      <c r="E47">
        <v>999</v>
      </c>
      <c r="F47">
        <f t="shared" si="0"/>
        <v>70</v>
      </c>
      <c r="G47">
        <v>0.6</v>
      </c>
      <c r="H47">
        <v>2.5000000000000001E-3</v>
      </c>
      <c r="I47">
        <v>0</v>
      </c>
      <c r="J47" t="s">
        <v>212</v>
      </c>
      <c r="L47">
        <v>46</v>
      </c>
      <c r="M47" s="5">
        <v>70000</v>
      </c>
      <c r="N47">
        <v>0.6</v>
      </c>
      <c r="O47">
        <v>52</v>
      </c>
      <c r="P47">
        <v>60</v>
      </c>
      <c r="Q47" t="s">
        <v>212</v>
      </c>
    </row>
    <row r="48" spans="1:17" x14ac:dyDescent="0.25">
      <c r="A48">
        <v>50</v>
      </c>
      <c r="B48">
        <v>59</v>
      </c>
      <c r="C48">
        <v>1.2488397534456299</v>
      </c>
      <c r="D48">
        <v>0</v>
      </c>
      <c r="E48">
        <v>999</v>
      </c>
      <c r="F48">
        <f t="shared" si="0"/>
        <v>65</v>
      </c>
      <c r="G48">
        <v>1.1000000000000001</v>
      </c>
      <c r="H48">
        <v>2.5000000000000001E-3</v>
      </c>
      <c r="I48">
        <v>0</v>
      </c>
      <c r="J48" t="s">
        <v>212</v>
      </c>
      <c r="L48">
        <v>47</v>
      </c>
      <c r="M48" s="5">
        <v>65000</v>
      </c>
      <c r="N48">
        <v>1.1000000000000001</v>
      </c>
      <c r="O48">
        <v>50</v>
      </c>
      <c r="P48">
        <v>59</v>
      </c>
      <c r="Q48" t="s">
        <v>212</v>
      </c>
    </row>
    <row r="49" spans="1:18" x14ac:dyDescent="0.25">
      <c r="A49">
        <v>52</v>
      </c>
      <c r="B49">
        <v>54</v>
      </c>
      <c r="C49">
        <v>0.419905105511165</v>
      </c>
      <c r="D49">
        <v>0</v>
      </c>
      <c r="E49">
        <v>999</v>
      </c>
      <c r="F49">
        <f t="shared" si="0"/>
        <v>60</v>
      </c>
      <c r="G49">
        <v>0.7</v>
      </c>
      <c r="H49">
        <v>2.5000000000000001E-3</v>
      </c>
      <c r="I49">
        <v>0</v>
      </c>
      <c r="J49" t="s">
        <v>212</v>
      </c>
      <c r="L49">
        <v>48</v>
      </c>
      <c r="M49" s="5">
        <v>60000</v>
      </c>
      <c r="N49">
        <v>0.7</v>
      </c>
      <c r="O49">
        <v>52</v>
      </c>
      <c r="P49">
        <v>54</v>
      </c>
      <c r="Q49" t="s">
        <v>212</v>
      </c>
    </row>
    <row r="50" spans="1:18" x14ac:dyDescent="0.25">
      <c r="A50">
        <v>53</v>
      </c>
      <c r="B50">
        <v>55</v>
      </c>
      <c r="C50">
        <v>0.419905105511165</v>
      </c>
      <c r="D50">
        <v>0</v>
      </c>
      <c r="E50">
        <v>999</v>
      </c>
      <c r="F50">
        <f t="shared" si="0"/>
        <v>60</v>
      </c>
      <c r="G50">
        <v>0.7</v>
      </c>
      <c r="H50">
        <v>2.5000000000000001E-3</v>
      </c>
      <c r="I50">
        <v>0</v>
      </c>
      <c r="J50" t="s">
        <v>212</v>
      </c>
      <c r="L50">
        <v>49</v>
      </c>
      <c r="M50" s="5">
        <v>60000</v>
      </c>
      <c r="N50">
        <v>0.7</v>
      </c>
      <c r="O50">
        <v>53</v>
      </c>
      <c r="P50">
        <v>55</v>
      </c>
      <c r="Q50" t="s">
        <v>212</v>
      </c>
    </row>
    <row r="51" spans="1:18" x14ac:dyDescent="0.25">
      <c r="A51">
        <v>55</v>
      </c>
      <c r="B51">
        <v>64</v>
      </c>
      <c r="C51">
        <v>0.37942011185325603</v>
      </c>
      <c r="D51">
        <v>0</v>
      </c>
      <c r="E51">
        <v>999</v>
      </c>
      <c r="F51">
        <f t="shared" si="0"/>
        <v>34</v>
      </c>
      <c r="G51">
        <v>0.6</v>
      </c>
      <c r="H51">
        <v>2.5000000000000001E-3</v>
      </c>
      <c r="I51">
        <v>0</v>
      </c>
      <c r="J51" t="s">
        <v>212</v>
      </c>
      <c r="L51">
        <v>50</v>
      </c>
      <c r="M51" s="5">
        <v>34000</v>
      </c>
      <c r="N51">
        <v>0.6</v>
      </c>
      <c r="O51">
        <v>55</v>
      </c>
      <c r="P51">
        <v>64</v>
      </c>
      <c r="Q51" t="s">
        <v>212</v>
      </c>
    </row>
    <row r="52" spans="1:18" x14ac:dyDescent="0.25">
      <c r="A52">
        <v>57</v>
      </c>
      <c r="B52">
        <v>64</v>
      </c>
      <c r="C52">
        <v>1.9279153176139201</v>
      </c>
      <c r="D52">
        <v>0</v>
      </c>
      <c r="E52">
        <v>999</v>
      </c>
      <c r="F52">
        <f t="shared" si="0"/>
        <v>10</v>
      </c>
      <c r="G52">
        <v>0.9</v>
      </c>
      <c r="H52">
        <v>2.5000000000000001E-3</v>
      </c>
      <c r="I52">
        <v>0</v>
      </c>
      <c r="J52" t="s">
        <v>212</v>
      </c>
      <c r="L52">
        <v>51</v>
      </c>
      <c r="M52" s="5">
        <v>10000</v>
      </c>
      <c r="N52">
        <v>0.9</v>
      </c>
      <c r="O52">
        <v>57</v>
      </c>
      <c r="P52">
        <v>64</v>
      </c>
      <c r="Q52" t="s">
        <v>212</v>
      </c>
    </row>
    <row r="53" spans="1:18" x14ac:dyDescent="0.25">
      <c r="A53">
        <v>58</v>
      </c>
      <c r="B53">
        <v>59</v>
      </c>
      <c r="C53">
        <v>0.447024660254698</v>
      </c>
      <c r="D53">
        <v>0</v>
      </c>
      <c r="E53">
        <v>999</v>
      </c>
      <c r="F53">
        <f t="shared" si="0"/>
        <v>186</v>
      </c>
      <c r="G53">
        <v>0.9</v>
      </c>
      <c r="H53">
        <v>2.5000000000000001E-3</v>
      </c>
      <c r="I53">
        <v>0</v>
      </c>
      <c r="J53" t="s">
        <v>212</v>
      </c>
      <c r="L53">
        <v>52</v>
      </c>
      <c r="M53" s="5">
        <v>186000</v>
      </c>
      <c r="N53">
        <v>0.9</v>
      </c>
      <c r="O53">
        <v>58</v>
      </c>
      <c r="P53">
        <v>59</v>
      </c>
      <c r="Q53" t="s">
        <v>212</v>
      </c>
    </row>
    <row r="54" spans="1:18" x14ac:dyDescent="0.25">
      <c r="A54">
        <v>46</v>
      </c>
      <c r="B54">
        <v>45</v>
      </c>
      <c r="C54">
        <v>0.4947033011552</v>
      </c>
      <c r="D54">
        <v>0</v>
      </c>
      <c r="E54">
        <v>999</v>
      </c>
      <c r="F54">
        <f t="shared" si="0"/>
        <v>20</v>
      </c>
      <c r="G54">
        <v>0.6</v>
      </c>
      <c r="H54">
        <v>2.5000000000000001E-3</v>
      </c>
      <c r="I54">
        <v>0</v>
      </c>
      <c r="J54" t="s">
        <v>212</v>
      </c>
      <c r="L54">
        <v>53</v>
      </c>
      <c r="M54" s="5">
        <v>20000</v>
      </c>
      <c r="N54">
        <v>0.6</v>
      </c>
      <c r="O54">
        <v>46</v>
      </c>
      <c r="P54">
        <v>45</v>
      </c>
      <c r="Q54" t="s">
        <v>212</v>
      </c>
    </row>
    <row r="55" spans="1:18" x14ac:dyDescent="0.25">
      <c r="A55">
        <v>56</v>
      </c>
      <c r="B55">
        <v>57</v>
      </c>
      <c r="C55">
        <v>1.15214977199308</v>
      </c>
      <c r="D55">
        <v>0</v>
      </c>
      <c r="E55">
        <v>999</v>
      </c>
      <c r="F55">
        <f t="shared" si="0"/>
        <v>28</v>
      </c>
      <c r="G55">
        <v>0.9</v>
      </c>
      <c r="H55">
        <v>2.5000000000000001E-3</v>
      </c>
      <c r="I55">
        <v>0</v>
      </c>
      <c r="J55" t="s">
        <v>212</v>
      </c>
      <c r="L55">
        <v>54</v>
      </c>
      <c r="M55" s="5">
        <v>28000</v>
      </c>
      <c r="N55">
        <v>0.9</v>
      </c>
      <c r="O55">
        <v>56</v>
      </c>
      <c r="P55">
        <v>57</v>
      </c>
      <c r="Q55" t="s">
        <v>212</v>
      </c>
    </row>
    <row r="56" spans="1:18" x14ac:dyDescent="0.25">
      <c r="A56">
        <v>5</v>
      </c>
      <c r="B56">
        <v>74</v>
      </c>
      <c r="C56">
        <v>0.52146306588488001</v>
      </c>
      <c r="D56">
        <v>0</v>
      </c>
      <c r="E56">
        <v>999</v>
      </c>
      <c r="F56">
        <f t="shared" si="0"/>
        <v>18</v>
      </c>
      <c r="G56">
        <v>0.6</v>
      </c>
      <c r="H56">
        <v>2.5000000000000001E-3</v>
      </c>
      <c r="I56">
        <v>0</v>
      </c>
      <c r="J56" t="s">
        <v>212</v>
      </c>
      <c r="L56">
        <v>55</v>
      </c>
      <c r="M56" s="5">
        <v>18000</v>
      </c>
      <c r="N56">
        <v>0.6</v>
      </c>
      <c r="O56">
        <v>5</v>
      </c>
      <c r="P56">
        <v>74</v>
      </c>
      <c r="Q56" t="s">
        <v>212</v>
      </c>
    </row>
    <row r="57" spans="1:18" x14ac:dyDescent="0.25">
      <c r="A57">
        <v>60</v>
      </c>
      <c r="B57">
        <v>78</v>
      </c>
      <c r="C57">
        <v>0.21136169873226901</v>
      </c>
      <c r="D57">
        <v>0</v>
      </c>
      <c r="E57">
        <v>999</v>
      </c>
      <c r="F57">
        <f t="shared" si="0"/>
        <v>26</v>
      </c>
      <c r="G57">
        <v>0.45</v>
      </c>
      <c r="H57">
        <v>2.5000000000000001E-3</v>
      </c>
      <c r="I57">
        <v>0</v>
      </c>
      <c r="J57" t="s">
        <v>212</v>
      </c>
      <c r="L57">
        <v>56</v>
      </c>
      <c r="M57" s="5">
        <v>26000</v>
      </c>
      <c r="N57">
        <v>0.45</v>
      </c>
      <c r="O57">
        <v>60</v>
      </c>
      <c r="P57">
        <v>78</v>
      </c>
      <c r="Q57" t="s">
        <v>212</v>
      </c>
    </row>
    <row r="58" spans="1:18" x14ac:dyDescent="0.25">
      <c r="A58">
        <v>19</v>
      </c>
      <c r="B58">
        <v>77</v>
      </c>
      <c r="C58">
        <v>2.7264839892764399</v>
      </c>
      <c r="D58">
        <v>0</v>
      </c>
      <c r="E58">
        <v>999</v>
      </c>
      <c r="F58">
        <f t="shared" si="0"/>
        <v>5</v>
      </c>
      <c r="G58">
        <v>0.9</v>
      </c>
      <c r="H58">
        <v>2.5000000000000001E-3</v>
      </c>
      <c r="I58">
        <v>0</v>
      </c>
      <c r="J58" t="s">
        <v>212</v>
      </c>
      <c r="L58">
        <v>57</v>
      </c>
      <c r="M58">
        <v>5000</v>
      </c>
      <c r="N58">
        <v>0.9</v>
      </c>
      <c r="O58">
        <v>19</v>
      </c>
      <c r="P58">
        <v>77</v>
      </c>
      <c r="Q58" t="s">
        <v>212</v>
      </c>
    </row>
    <row r="59" spans="1:18" x14ac:dyDescent="0.25">
      <c r="A59">
        <v>46</v>
      </c>
      <c r="B59">
        <v>75</v>
      </c>
      <c r="C59">
        <v>3.5198756947229399</v>
      </c>
      <c r="D59">
        <v>0</v>
      </c>
      <c r="E59">
        <v>999</v>
      </c>
      <c r="F59">
        <f t="shared" si="0"/>
        <v>3</v>
      </c>
      <c r="G59">
        <v>0.9</v>
      </c>
      <c r="H59">
        <v>2.5000000000000001E-3</v>
      </c>
      <c r="I59">
        <v>0</v>
      </c>
      <c r="J59" t="s">
        <v>212</v>
      </c>
      <c r="L59">
        <v>58</v>
      </c>
      <c r="M59">
        <v>3000</v>
      </c>
      <c r="N59">
        <v>0.9</v>
      </c>
      <c r="O59">
        <v>46</v>
      </c>
      <c r="P59">
        <v>75</v>
      </c>
      <c r="Q59" t="s">
        <v>212</v>
      </c>
    </row>
    <row r="60" spans="1:18" x14ac:dyDescent="0.25">
      <c r="A60">
        <v>17</v>
      </c>
      <c r="B60">
        <v>76</v>
      </c>
      <c r="C60">
        <v>0.61360392659190599</v>
      </c>
      <c r="D60">
        <v>0</v>
      </c>
      <c r="E60">
        <v>999</v>
      </c>
      <c r="F60">
        <f t="shared" si="0"/>
        <v>13</v>
      </c>
      <c r="G60">
        <v>0.6</v>
      </c>
      <c r="H60">
        <v>2.5000000000000001E-3</v>
      </c>
      <c r="I60">
        <v>0</v>
      </c>
      <c r="J60" t="s">
        <v>212</v>
      </c>
      <c r="L60">
        <v>59</v>
      </c>
      <c r="M60" s="5">
        <v>13000</v>
      </c>
      <c r="N60">
        <v>0.6</v>
      </c>
      <c r="O60">
        <v>17</v>
      </c>
      <c r="P60">
        <v>76</v>
      </c>
      <c r="Q60" t="s">
        <v>212</v>
      </c>
    </row>
    <row r="61" spans="1:18" x14ac:dyDescent="0.25">
      <c r="A61">
        <v>18</v>
      </c>
      <c r="B61">
        <v>73</v>
      </c>
      <c r="C61">
        <v>1.26212484328839</v>
      </c>
      <c r="D61">
        <v>0</v>
      </c>
      <c r="E61">
        <v>999</v>
      </c>
      <c r="F61">
        <f t="shared" si="0"/>
        <v>29</v>
      </c>
      <c r="G61">
        <v>0.94</v>
      </c>
      <c r="H61">
        <v>2.5000000000000001E-3</v>
      </c>
      <c r="I61">
        <v>0</v>
      </c>
      <c r="J61" t="s">
        <v>212</v>
      </c>
      <c r="L61">
        <v>60</v>
      </c>
      <c r="M61" s="5">
        <v>29000</v>
      </c>
      <c r="N61">
        <v>0.94</v>
      </c>
      <c r="O61">
        <v>18</v>
      </c>
      <c r="P61">
        <v>73</v>
      </c>
      <c r="Q61" t="s">
        <v>212</v>
      </c>
    </row>
    <row r="62" spans="1:18" x14ac:dyDescent="0.25">
      <c r="A62">
        <v>63</v>
      </c>
      <c r="B62">
        <v>61</v>
      </c>
      <c r="C62">
        <v>69.961611784442596</v>
      </c>
      <c r="D62">
        <v>0</v>
      </c>
      <c r="E62">
        <v>999</v>
      </c>
      <c r="F62">
        <f t="shared" si="0"/>
        <v>1E-3</v>
      </c>
      <c r="G62">
        <v>0.6</v>
      </c>
      <c r="H62">
        <v>2.5000000000000001E-3</v>
      </c>
      <c r="I62">
        <v>1</v>
      </c>
      <c r="J62" t="s">
        <v>368</v>
      </c>
      <c r="L62">
        <v>61</v>
      </c>
      <c r="M62">
        <v>1</v>
      </c>
      <c r="N62">
        <v>0.6</v>
      </c>
      <c r="O62">
        <v>63</v>
      </c>
      <c r="P62">
        <v>61</v>
      </c>
      <c r="Q62" t="s">
        <v>213</v>
      </c>
      <c r="R62" t="s">
        <v>214</v>
      </c>
    </row>
    <row r="63" spans="1:18" x14ac:dyDescent="0.25">
      <c r="A63">
        <v>66</v>
      </c>
      <c r="B63">
        <v>8</v>
      </c>
      <c r="C63">
        <v>69.961611784442596</v>
      </c>
      <c r="D63">
        <v>0</v>
      </c>
      <c r="E63">
        <v>999</v>
      </c>
      <c r="F63">
        <f t="shared" si="0"/>
        <v>1E-3</v>
      </c>
      <c r="G63">
        <v>0.6</v>
      </c>
      <c r="H63">
        <v>2.5000000000000001E-3</v>
      </c>
      <c r="I63">
        <v>1</v>
      </c>
      <c r="J63" t="s">
        <v>368</v>
      </c>
      <c r="L63">
        <v>62</v>
      </c>
      <c r="M63">
        <v>1</v>
      </c>
      <c r="N63">
        <v>0.6</v>
      </c>
      <c r="O63">
        <v>66</v>
      </c>
      <c r="P63">
        <v>8</v>
      </c>
      <c r="Q63" t="s">
        <v>213</v>
      </c>
      <c r="R63" t="s">
        <v>214</v>
      </c>
    </row>
    <row r="64" spans="1:18" x14ac:dyDescent="0.25">
      <c r="A64">
        <v>68</v>
      </c>
      <c r="B64">
        <v>14</v>
      </c>
      <c r="C64">
        <v>69.961611784442596</v>
      </c>
      <c r="D64">
        <v>0</v>
      </c>
      <c r="E64">
        <v>999</v>
      </c>
      <c r="F64">
        <f t="shared" si="0"/>
        <v>1E-3</v>
      </c>
      <c r="G64">
        <v>0.6</v>
      </c>
      <c r="H64">
        <v>2.5000000000000001E-3</v>
      </c>
      <c r="I64">
        <v>1</v>
      </c>
      <c r="J64" t="s">
        <v>368</v>
      </c>
      <c r="L64">
        <v>63</v>
      </c>
      <c r="M64">
        <v>1</v>
      </c>
      <c r="N64">
        <v>0.6</v>
      </c>
      <c r="O64">
        <v>68</v>
      </c>
      <c r="P64">
        <v>14</v>
      </c>
      <c r="Q64" t="s">
        <v>213</v>
      </c>
      <c r="R64" t="s">
        <v>214</v>
      </c>
    </row>
    <row r="65" spans="1:18" x14ac:dyDescent="0.25">
      <c r="A65">
        <v>71</v>
      </c>
      <c r="B65">
        <v>18</v>
      </c>
      <c r="C65">
        <v>69.961611784442596</v>
      </c>
      <c r="D65">
        <v>0</v>
      </c>
      <c r="E65">
        <v>999</v>
      </c>
      <c r="F65">
        <f t="shared" si="0"/>
        <v>1E-3</v>
      </c>
      <c r="G65">
        <v>0.6</v>
      </c>
      <c r="H65">
        <v>2.5000000000000001E-3</v>
      </c>
      <c r="I65">
        <v>1</v>
      </c>
      <c r="J65" t="s">
        <v>368</v>
      </c>
      <c r="L65">
        <v>64</v>
      </c>
      <c r="M65">
        <v>1</v>
      </c>
      <c r="N65">
        <v>0.6</v>
      </c>
      <c r="O65">
        <v>71</v>
      </c>
      <c r="P65">
        <v>18</v>
      </c>
      <c r="Q65" t="s">
        <v>213</v>
      </c>
      <c r="R65" t="s">
        <v>214</v>
      </c>
    </row>
    <row r="66" spans="1:18" x14ac:dyDescent="0.25">
      <c r="A66">
        <v>65</v>
      </c>
      <c r="B66">
        <v>22</v>
      </c>
      <c r="C66">
        <v>69.961611784442596</v>
      </c>
      <c r="D66">
        <v>0</v>
      </c>
      <c r="E66">
        <v>999</v>
      </c>
      <c r="F66">
        <f t="shared" si="0"/>
        <v>1E-3</v>
      </c>
      <c r="G66">
        <v>0.6</v>
      </c>
      <c r="H66">
        <v>2.5000000000000001E-3</v>
      </c>
      <c r="I66">
        <v>1</v>
      </c>
      <c r="J66" t="s">
        <v>368</v>
      </c>
      <c r="L66">
        <v>65</v>
      </c>
      <c r="M66">
        <v>1</v>
      </c>
      <c r="N66">
        <v>0.6</v>
      </c>
      <c r="O66">
        <v>65</v>
      </c>
      <c r="P66">
        <v>22</v>
      </c>
      <c r="Q66" t="s">
        <v>213</v>
      </c>
      <c r="R66" t="s">
        <v>214</v>
      </c>
    </row>
    <row r="67" spans="1:18" x14ac:dyDescent="0.25">
      <c r="A67">
        <v>69</v>
      </c>
      <c r="B67">
        <v>25</v>
      </c>
      <c r="C67">
        <v>69.961611784442596</v>
      </c>
      <c r="D67">
        <v>0</v>
      </c>
      <c r="E67">
        <v>999</v>
      </c>
      <c r="F67">
        <f t="shared" ref="F67:F91" si="1">M67/1000</f>
        <v>1E-3</v>
      </c>
      <c r="G67">
        <v>0.6</v>
      </c>
      <c r="H67">
        <v>2.5000000000000001E-3</v>
      </c>
      <c r="I67">
        <v>1</v>
      </c>
      <c r="J67" t="s">
        <v>368</v>
      </c>
      <c r="L67">
        <v>66</v>
      </c>
      <c r="M67">
        <v>1</v>
      </c>
      <c r="N67">
        <v>0.6</v>
      </c>
      <c r="O67">
        <v>69</v>
      </c>
      <c r="P67">
        <v>25</v>
      </c>
      <c r="Q67" t="s">
        <v>213</v>
      </c>
      <c r="R67" t="s">
        <v>214</v>
      </c>
    </row>
    <row r="68" spans="1:18" x14ac:dyDescent="0.25">
      <c r="A68">
        <v>70</v>
      </c>
      <c r="B68">
        <v>36</v>
      </c>
      <c r="C68">
        <v>69.961611784442596</v>
      </c>
      <c r="D68">
        <v>0</v>
      </c>
      <c r="E68">
        <v>999</v>
      </c>
      <c r="F68">
        <f t="shared" si="1"/>
        <v>1E-3</v>
      </c>
      <c r="G68">
        <v>0.6</v>
      </c>
      <c r="H68">
        <v>2.5000000000000001E-3</v>
      </c>
      <c r="I68">
        <v>1</v>
      </c>
      <c r="J68" t="s">
        <v>368</v>
      </c>
      <c r="L68">
        <v>67</v>
      </c>
      <c r="M68">
        <v>1</v>
      </c>
      <c r="N68">
        <v>0.6</v>
      </c>
      <c r="O68">
        <v>70</v>
      </c>
      <c r="P68">
        <v>36</v>
      </c>
      <c r="Q68" t="s">
        <v>213</v>
      </c>
      <c r="R68" t="s">
        <v>214</v>
      </c>
    </row>
    <row r="69" spans="1:18" x14ac:dyDescent="0.25">
      <c r="A69">
        <v>72</v>
      </c>
      <c r="B69">
        <v>56</v>
      </c>
      <c r="C69">
        <v>69.961611784442596</v>
      </c>
      <c r="D69">
        <v>0</v>
      </c>
      <c r="E69">
        <v>999</v>
      </c>
      <c r="F69">
        <f t="shared" si="1"/>
        <v>1E-3</v>
      </c>
      <c r="G69">
        <v>0.6</v>
      </c>
      <c r="H69">
        <v>2.5000000000000001E-3</v>
      </c>
      <c r="I69">
        <v>1</v>
      </c>
      <c r="J69" t="s">
        <v>368</v>
      </c>
      <c r="L69">
        <v>68</v>
      </c>
      <c r="M69">
        <v>1</v>
      </c>
      <c r="N69">
        <v>0.6</v>
      </c>
      <c r="O69">
        <v>72</v>
      </c>
      <c r="P69">
        <v>56</v>
      </c>
      <c r="Q69" t="s">
        <v>213</v>
      </c>
      <c r="R69" t="s">
        <v>214</v>
      </c>
    </row>
    <row r="70" spans="1:18" x14ac:dyDescent="0.25">
      <c r="A70">
        <v>67</v>
      </c>
      <c r="B70">
        <v>45</v>
      </c>
      <c r="C70">
        <v>69.961611784442596</v>
      </c>
      <c r="D70">
        <v>0</v>
      </c>
      <c r="E70">
        <v>999</v>
      </c>
      <c r="F70">
        <f t="shared" si="1"/>
        <v>1E-3</v>
      </c>
      <c r="G70">
        <v>0.6</v>
      </c>
      <c r="H70">
        <v>2.5000000000000001E-3</v>
      </c>
      <c r="I70">
        <v>1</v>
      </c>
      <c r="J70" t="s">
        <v>368</v>
      </c>
      <c r="L70">
        <v>69</v>
      </c>
      <c r="M70">
        <v>1</v>
      </c>
      <c r="N70">
        <v>0.6</v>
      </c>
      <c r="O70">
        <v>67</v>
      </c>
      <c r="P70">
        <v>45</v>
      </c>
      <c r="Q70" t="s">
        <v>213</v>
      </c>
      <c r="R70" t="s">
        <v>214</v>
      </c>
    </row>
    <row r="71" spans="1:18" x14ac:dyDescent="0.25">
      <c r="A71">
        <v>62</v>
      </c>
      <c r="B71">
        <v>1</v>
      </c>
      <c r="C71">
        <v>999999</v>
      </c>
      <c r="D71">
        <v>0</v>
      </c>
      <c r="E71">
        <v>999</v>
      </c>
      <c r="F71">
        <f t="shared" si="1"/>
        <v>1E-3</v>
      </c>
      <c r="G71">
        <v>0</v>
      </c>
      <c r="H71">
        <v>2.5000000000000001E-3</v>
      </c>
      <c r="I71">
        <v>1</v>
      </c>
      <c r="J71" t="s">
        <v>369</v>
      </c>
      <c r="L71">
        <v>70</v>
      </c>
      <c r="M71">
        <v>1</v>
      </c>
      <c r="N71">
        <v>0</v>
      </c>
      <c r="O71">
        <v>62</v>
      </c>
      <c r="P71">
        <v>1</v>
      </c>
      <c r="Q71" t="s">
        <v>215</v>
      </c>
      <c r="R71" t="s">
        <v>216</v>
      </c>
    </row>
    <row r="72" spans="1:18" x14ac:dyDescent="0.25">
      <c r="A72">
        <v>3</v>
      </c>
      <c r="B72">
        <v>2</v>
      </c>
      <c r="C72">
        <v>999999</v>
      </c>
      <c r="D72">
        <v>0</v>
      </c>
      <c r="E72">
        <v>999</v>
      </c>
      <c r="F72">
        <f t="shared" si="1"/>
        <v>1E-3</v>
      </c>
      <c r="G72">
        <v>0</v>
      </c>
      <c r="H72">
        <v>2.5000000000000001E-3</v>
      </c>
      <c r="I72">
        <v>1</v>
      </c>
      <c r="J72" t="s">
        <v>369</v>
      </c>
      <c r="L72">
        <v>71</v>
      </c>
      <c r="M72">
        <v>1</v>
      </c>
      <c r="N72">
        <v>0</v>
      </c>
      <c r="O72">
        <v>3</v>
      </c>
      <c r="P72">
        <v>2</v>
      </c>
      <c r="Q72" t="s">
        <v>215</v>
      </c>
      <c r="R72" t="s">
        <v>217</v>
      </c>
    </row>
    <row r="73" spans="1:18" x14ac:dyDescent="0.25">
      <c r="A73">
        <v>5</v>
      </c>
      <c r="B73">
        <v>4</v>
      </c>
      <c r="C73">
        <v>999999</v>
      </c>
      <c r="D73">
        <v>0</v>
      </c>
      <c r="E73">
        <v>999</v>
      </c>
      <c r="F73">
        <f t="shared" si="1"/>
        <v>1E-3</v>
      </c>
      <c r="G73">
        <v>0</v>
      </c>
      <c r="H73">
        <v>2.5000000000000001E-3</v>
      </c>
      <c r="I73">
        <v>1</v>
      </c>
      <c r="J73" t="s">
        <v>370</v>
      </c>
      <c r="L73">
        <v>72</v>
      </c>
      <c r="M73">
        <v>1</v>
      </c>
      <c r="N73">
        <v>0</v>
      </c>
      <c r="O73">
        <v>5</v>
      </c>
      <c r="P73">
        <v>4</v>
      </c>
      <c r="Q73" t="s">
        <v>218</v>
      </c>
    </row>
    <row r="74" spans="1:18" x14ac:dyDescent="0.25">
      <c r="A74">
        <v>7</v>
      </c>
      <c r="B74">
        <v>6</v>
      </c>
      <c r="C74">
        <v>999999</v>
      </c>
      <c r="D74">
        <v>0</v>
      </c>
      <c r="E74">
        <v>999</v>
      </c>
      <c r="F74">
        <f t="shared" si="1"/>
        <v>1E-3</v>
      </c>
      <c r="G74">
        <v>0</v>
      </c>
      <c r="H74">
        <v>2.5000000000000001E-3</v>
      </c>
      <c r="I74">
        <v>1</v>
      </c>
      <c r="J74" t="s">
        <v>370</v>
      </c>
      <c r="L74">
        <v>73</v>
      </c>
      <c r="M74">
        <v>1</v>
      </c>
      <c r="N74">
        <v>0</v>
      </c>
      <c r="O74">
        <v>7</v>
      </c>
      <c r="P74">
        <v>6</v>
      </c>
      <c r="Q74" t="s">
        <v>219</v>
      </c>
    </row>
    <row r="75" spans="1:18" x14ac:dyDescent="0.25">
      <c r="A75">
        <v>12</v>
      </c>
      <c r="B75">
        <v>11</v>
      </c>
      <c r="C75">
        <v>999999</v>
      </c>
      <c r="D75">
        <v>0</v>
      </c>
      <c r="E75">
        <v>999</v>
      </c>
      <c r="F75">
        <f t="shared" si="1"/>
        <v>1E-3</v>
      </c>
      <c r="G75">
        <v>0</v>
      </c>
      <c r="H75">
        <v>2.5000000000000001E-3</v>
      </c>
      <c r="I75">
        <v>1</v>
      </c>
      <c r="J75" t="s">
        <v>370</v>
      </c>
      <c r="L75">
        <v>74</v>
      </c>
      <c r="M75">
        <v>1</v>
      </c>
      <c r="N75">
        <v>0</v>
      </c>
      <c r="O75">
        <v>12</v>
      </c>
      <c r="P75">
        <v>11</v>
      </c>
      <c r="Q75" t="s">
        <v>220</v>
      </c>
    </row>
    <row r="76" spans="1:18" x14ac:dyDescent="0.25">
      <c r="A76">
        <v>10</v>
      </c>
      <c r="B76">
        <v>9</v>
      </c>
      <c r="C76">
        <v>999999</v>
      </c>
      <c r="D76">
        <v>0</v>
      </c>
      <c r="E76">
        <v>999</v>
      </c>
      <c r="F76">
        <f t="shared" si="1"/>
        <v>1E-3</v>
      </c>
      <c r="G76">
        <v>0</v>
      </c>
      <c r="H76">
        <v>2.5000000000000001E-3</v>
      </c>
      <c r="I76">
        <v>1</v>
      </c>
      <c r="J76" t="s">
        <v>370</v>
      </c>
      <c r="L76">
        <v>75</v>
      </c>
      <c r="M76">
        <v>1</v>
      </c>
      <c r="N76">
        <v>0</v>
      </c>
      <c r="O76">
        <v>10</v>
      </c>
      <c r="P76">
        <v>9</v>
      </c>
      <c r="Q76" t="s">
        <v>221</v>
      </c>
    </row>
    <row r="77" spans="1:18" x14ac:dyDescent="0.25">
      <c r="A77">
        <v>16</v>
      </c>
      <c r="B77">
        <v>15</v>
      </c>
      <c r="C77">
        <v>999999</v>
      </c>
      <c r="D77">
        <v>0</v>
      </c>
      <c r="E77">
        <v>999</v>
      </c>
      <c r="F77">
        <f t="shared" si="1"/>
        <v>1E-3</v>
      </c>
      <c r="G77">
        <v>0</v>
      </c>
      <c r="H77">
        <v>2.5000000000000001E-3</v>
      </c>
      <c r="I77">
        <v>1</v>
      </c>
      <c r="J77" t="s">
        <v>370</v>
      </c>
      <c r="L77">
        <v>76</v>
      </c>
      <c r="M77">
        <v>1</v>
      </c>
      <c r="N77">
        <v>0</v>
      </c>
      <c r="O77">
        <v>16</v>
      </c>
      <c r="P77">
        <v>15</v>
      </c>
      <c r="Q77" t="s">
        <v>222</v>
      </c>
    </row>
    <row r="78" spans="1:18" x14ac:dyDescent="0.25">
      <c r="A78">
        <v>49</v>
      </c>
      <c r="B78">
        <v>48</v>
      </c>
      <c r="C78">
        <v>999999</v>
      </c>
      <c r="D78">
        <v>0</v>
      </c>
      <c r="E78">
        <v>999</v>
      </c>
      <c r="F78">
        <f t="shared" si="1"/>
        <v>1E-3</v>
      </c>
      <c r="G78">
        <v>0</v>
      </c>
      <c r="H78">
        <v>2.5000000000000001E-3</v>
      </c>
      <c r="I78">
        <v>1</v>
      </c>
      <c r="J78" t="s">
        <v>369</v>
      </c>
      <c r="L78">
        <v>77</v>
      </c>
      <c r="M78">
        <v>1</v>
      </c>
      <c r="N78">
        <v>0</v>
      </c>
      <c r="O78">
        <v>49</v>
      </c>
      <c r="P78">
        <v>48</v>
      </c>
      <c r="Q78" t="s">
        <v>215</v>
      </c>
      <c r="R78" t="s">
        <v>223</v>
      </c>
    </row>
    <row r="79" spans="1:18" x14ac:dyDescent="0.25">
      <c r="A79">
        <v>51</v>
      </c>
      <c r="B79">
        <v>50</v>
      </c>
      <c r="C79">
        <v>999999</v>
      </c>
      <c r="D79">
        <v>0</v>
      </c>
      <c r="E79">
        <v>999</v>
      </c>
      <c r="F79">
        <f t="shared" si="1"/>
        <v>1E-3</v>
      </c>
      <c r="G79">
        <v>0</v>
      </c>
      <c r="H79">
        <v>2.5000000000000001E-3</v>
      </c>
      <c r="I79">
        <v>1</v>
      </c>
      <c r="J79" t="s">
        <v>370</v>
      </c>
      <c r="L79">
        <v>78</v>
      </c>
      <c r="M79">
        <v>1</v>
      </c>
      <c r="N79">
        <v>0</v>
      </c>
      <c r="O79">
        <v>51</v>
      </c>
      <c r="P79">
        <v>50</v>
      </c>
      <c r="Q79" t="s">
        <v>224</v>
      </c>
    </row>
    <row r="80" spans="1:18" x14ac:dyDescent="0.25">
      <c r="A80">
        <v>21</v>
      </c>
      <c r="B80">
        <v>20</v>
      </c>
      <c r="C80">
        <v>999999</v>
      </c>
      <c r="D80">
        <v>0</v>
      </c>
      <c r="E80">
        <v>999</v>
      </c>
      <c r="F80">
        <f t="shared" si="1"/>
        <v>1E-3</v>
      </c>
      <c r="G80">
        <v>0</v>
      </c>
      <c r="H80">
        <v>2.5000000000000001E-3</v>
      </c>
      <c r="I80">
        <v>1</v>
      </c>
      <c r="J80" t="s">
        <v>370</v>
      </c>
      <c r="L80">
        <v>79</v>
      </c>
      <c r="M80">
        <v>1</v>
      </c>
      <c r="N80">
        <v>0</v>
      </c>
      <c r="O80">
        <v>21</v>
      </c>
      <c r="P80">
        <v>20</v>
      </c>
      <c r="Q80" t="s">
        <v>225</v>
      </c>
    </row>
    <row r="81" spans="1:18" x14ac:dyDescent="0.25">
      <c r="A81">
        <v>24</v>
      </c>
      <c r="B81">
        <v>23</v>
      </c>
      <c r="C81">
        <v>999999</v>
      </c>
      <c r="D81">
        <v>0</v>
      </c>
      <c r="E81">
        <v>999</v>
      </c>
      <c r="F81">
        <f t="shared" si="1"/>
        <v>1E-3</v>
      </c>
      <c r="G81">
        <v>0</v>
      </c>
      <c r="H81">
        <v>2.5000000000000001E-3</v>
      </c>
      <c r="I81">
        <v>1</v>
      </c>
      <c r="J81" t="s">
        <v>370</v>
      </c>
      <c r="L81">
        <v>80</v>
      </c>
      <c r="M81">
        <v>1</v>
      </c>
      <c r="N81">
        <v>0</v>
      </c>
      <c r="O81">
        <v>24</v>
      </c>
      <c r="P81">
        <v>23</v>
      </c>
      <c r="Q81" t="s">
        <v>226</v>
      </c>
    </row>
    <row r="82" spans="1:18" x14ac:dyDescent="0.25">
      <c r="A82">
        <v>31</v>
      </c>
      <c r="B82">
        <v>30</v>
      </c>
      <c r="C82">
        <v>999999</v>
      </c>
      <c r="D82">
        <v>0</v>
      </c>
      <c r="E82">
        <v>999</v>
      </c>
      <c r="F82">
        <f t="shared" si="1"/>
        <v>1E-3</v>
      </c>
      <c r="G82">
        <v>0</v>
      </c>
      <c r="H82">
        <v>2.5000000000000001E-3</v>
      </c>
      <c r="I82">
        <v>1</v>
      </c>
      <c r="J82" t="s">
        <v>369</v>
      </c>
      <c r="L82">
        <v>81</v>
      </c>
      <c r="M82">
        <v>1</v>
      </c>
      <c r="N82">
        <v>0</v>
      </c>
      <c r="O82">
        <v>31</v>
      </c>
      <c r="P82">
        <v>30</v>
      </c>
      <c r="Q82" t="s">
        <v>215</v>
      </c>
      <c r="R82" t="s">
        <v>227</v>
      </c>
    </row>
    <row r="83" spans="1:18" x14ac:dyDescent="0.25">
      <c r="A83">
        <v>29</v>
      </c>
      <c r="B83">
        <v>28</v>
      </c>
      <c r="C83">
        <v>999999</v>
      </c>
      <c r="D83">
        <v>0</v>
      </c>
      <c r="E83">
        <v>999</v>
      </c>
      <c r="F83">
        <f t="shared" si="1"/>
        <v>1E-3</v>
      </c>
      <c r="G83">
        <v>0</v>
      </c>
      <c r="H83">
        <v>2.5000000000000001E-3</v>
      </c>
      <c r="I83">
        <v>1</v>
      </c>
      <c r="J83" t="s">
        <v>370</v>
      </c>
      <c r="L83">
        <v>82</v>
      </c>
      <c r="M83">
        <v>1</v>
      </c>
      <c r="N83">
        <v>0</v>
      </c>
      <c r="O83">
        <v>29</v>
      </c>
      <c r="P83">
        <v>28</v>
      </c>
      <c r="Q83" t="s">
        <v>228</v>
      </c>
    </row>
    <row r="84" spans="1:18" x14ac:dyDescent="0.25">
      <c r="A84">
        <v>33</v>
      </c>
      <c r="B84">
        <v>32</v>
      </c>
      <c r="C84">
        <v>999999</v>
      </c>
      <c r="D84">
        <v>0</v>
      </c>
      <c r="E84">
        <v>999</v>
      </c>
      <c r="F84">
        <f t="shared" si="1"/>
        <v>1E-3</v>
      </c>
      <c r="G84">
        <v>0</v>
      </c>
      <c r="H84">
        <v>2.5000000000000001E-3</v>
      </c>
      <c r="I84">
        <v>1</v>
      </c>
      <c r="J84" t="s">
        <v>370</v>
      </c>
      <c r="L84">
        <v>83</v>
      </c>
      <c r="M84">
        <v>1</v>
      </c>
      <c r="N84">
        <v>0</v>
      </c>
      <c r="O84">
        <v>33</v>
      </c>
      <c r="P84">
        <v>32</v>
      </c>
      <c r="Q84" t="s">
        <v>229</v>
      </c>
    </row>
    <row r="85" spans="1:18" x14ac:dyDescent="0.25">
      <c r="A85">
        <v>27</v>
      </c>
      <c r="B85">
        <v>26</v>
      </c>
      <c r="C85">
        <v>999999</v>
      </c>
      <c r="D85">
        <v>0</v>
      </c>
      <c r="E85">
        <v>999</v>
      </c>
      <c r="F85">
        <f t="shared" si="1"/>
        <v>1E-3</v>
      </c>
      <c r="G85">
        <v>0</v>
      </c>
      <c r="H85">
        <v>2.5000000000000001E-3</v>
      </c>
      <c r="I85">
        <v>1</v>
      </c>
      <c r="J85" t="s">
        <v>370</v>
      </c>
      <c r="L85">
        <v>84</v>
      </c>
      <c r="M85">
        <v>1</v>
      </c>
      <c r="N85">
        <v>0</v>
      </c>
      <c r="O85">
        <v>27</v>
      </c>
      <c r="P85">
        <v>26</v>
      </c>
      <c r="Q85" t="s">
        <v>230</v>
      </c>
    </row>
    <row r="86" spans="1:18" x14ac:dyDescent="0.25">
      <c r="A86">
        <v>35</v>
      </c>
      <c r="B86">
        <v>34</v>
      </c>
      <c r="C86">
        <v>999999</v>
      </c>
      <c r="D86">
        <v>0</v>
      </c>
      <c r="E86">
        <v>999</v>
      </c>
      <c r="F86">
        <f t="shared" si="1"/>
        <v>1E-3</v>
      </c>
      <c r="G86">
        <v>0</v>
      </c>
      <c r="H86">
        <v>2.5000000000000001E-3</v>
      </c>
      <c r="I86">
        <v>1</v>
      </c>
      <c r="J86" t="s">
        <v>370</v>
      </c>
      <c r="L86">
        <v>85</v>
      </c>
      <c r="M86">
        <v>1</v>
      </c>
      <c r="N86">
        <v>0</v>
      </c>
      <c r="O86">
        <v>35</v>
      </c>
      <c r="P86">
        <v>34</v>
      </c>
      <c r="Q86" t="s">
        <v>231</v>
      </c>
    </row>
    <row r="87" spans="1:18" x14ac:dyDescent="0.25">
      <c r="A87">
        <v>40</v>
      </c>
      <c r="B87">
        <v>39</v>
      </c>
      <c r="C87">
        <v>999999</v>
      </c>
      <c r="D87">
        <v>0</v>
      </c>
      <c r="E87">
        <v>999</v>
      </c>
      <c r="F87">
        <f t="shared" si="1"/>
        <v>1E-3</v>
      </c>
      <c r="G87">
        <v>0</v>
      </c>
      <c r="H87">
        <v>2.5000000000000001E-3</v>
      </c>
      <c r="I87">
        <v>1</v>
      </c>
      <c r="J87" t="s">
        <v>370</v>
      </c>
      <c r="L87">
        <v>86</v>
      </c>
      <c r="M87">
        <v>1</v>
      </c>
      <c r="N87">
        <v>0</v>
      </c>
      <c r="O87">
        <v>40</v>
      </c>
      <c r="P87">
        <v>39</v>
      </c>
      <c r="Q87" t="s">
        <v>232</v>
      </c>
    </row>
    <row r="88" spans="1:18" x14ac:dyDescent="0.25">
      <c r="A88">
        <v>42</v>
      </c>
      <c r="B88">
        <v>41</v>
      </c>
      <c r="C88">
        <v>999999</v>
      </c>
      <c r="D88">
        <v>0</v>
      </c>
      <c r="E88">
        <v>999</v>
      </c>
      <c r="F88">
        <f t="shared" si="1"/>
        <v>1E-3</v>
      </c>
      <c r="G88">
        <v>0</v>
      </c>
      <c r="H88">
        <v>2.5000000000000001E-3</v>
      </c>
      <c r="I88">
        <v>1</v>
      </c>
      <c r="J88" t="s">
        <v>370</v>
      </c>
      <c r="L88">
        <v>87</v>
      </c>
      <c r="M88">
        <v>1</v>
      </c>
      <c r="N88">
        <v>0</v>
      </c>
      <c r="O88">
        <v>42</v>
      </c>
      <c r="P88">
        <v>41</v>
      </c>
      <c r="Q88" t="s">
        <v>233</v>
      </c>
    </row>
    <row r="89" spans="1:18" x14ac:dyDescent="0.25">
      <c r="A89">
        <v>59</v>
      </c>
      <c r="B89">
        <v>52</v>
      </c>
      <c r="C89">
        <v>999999</v>
      </c>
      <c r="D89">
        <v>0</v>
      </c>
      <c r="E89">
        <v>999</v>
      </c>
      <c r="F89">
        <f t="shared" si="1"/>
        <v>1E-3</v>
      </c>
      <c r="G89">
        <v>0</v>
      </c>
      <c r="H89">
        <v>2.5000000000000001E-3</v>
      </c>
      <c r="I89">
        <v>1</v>
      </c>
      <c r="J89" t="s">
        <v>370</v>
      </c>
      <c r="L89">
        <v>88</v>
      </c>
      <c r="M89">
        <v>1</v>
      </c>
      <c r="N89">
        <v>0</v>
      </c>
      <c r="O89">
        <v>59</v>
      </c>
      <c r="P89">
        <v>52</v>
      </c>
      <c r="Q89" t="s">
        <v>234</v>
      </c>
    </row>
    <row r="90" spans="1:18" x14ac:dyDescent="0.25">
      <c r="A90">
        <v>54</v>
      </c>
      <c r="B90">
        <v>53</v>
      </c>
      <c r="C90">
        <v>999999</v>
      </c>
      <c r="D90">
        <v>0</v>
      </c>
      <c r="E90">
        <v>999</v>
      </c>
      <c r="F90">
        <f t="shared" si="1"/>
        <v>1E-3</v>
      </c>
      <c r="G90">
        <v>0</v>
      </c>
      <c r="H90">
        <v>2.5000000000000001E-3</v>
      </c>
      <c r="I90">
        <v>1</v>
      </c>
      <c r="J90" t="s">
        <v>370</v>
      </c>
      <c r="L90">
        <v>89</v>
      </c>
      <c r="M90">
        <v>1</v>
      </c>
      <c r="N90">
        <v>0</v>
      </c>
      <c r="O90">
        <v>54</v>
      </c>
      <c r="P90">
        <v>53</v>
      </c>
      <c r="Q90" t="s">
        <v>235</v>
      </c>
    </row>
    <row r="91" spans="1:18" x14ac:dyDescent="0.25">
      <c r="A91">
        <v>64</v>
      </c>
      <c r="B91">
        <v>58</v>
      </c>
      <c r="C91">
        <v>999999</v>
      </c>
      <c r="D91">
        <v>0</v>
      </c>
      <c r="E91">
        <v>999</v>
      </c>
      <c r="F91">
        <f t="shared" si="1"/>
        <v>1E-3</v>
      </c>
      <c r="G91">
        <v>0</v>
      </c>
      <c r="H91">
        <v>2.5000000000000001E-3</v>
      </c>
      <c r="I91">
        <v>1</v>
      </c>
      <c r="J91" t="s">
        <v>369</v>
      </c>
      <c r="L91">
        <v>90</v>
      </c>
      <c r="M91">
        <v>1</v>
      </c>
      <c r="N91">
        <v>0</v>
      </c>
      <c r="O91">
        <v>64</v>
      </c>
      <c r="P91">
        <v>58</v>
      </c>
      <c r="Q91" t="s">
        <v>215</v>
      </c>
      <c r="R91" t="s">
        <v>236</v>
      </c>
    </row>
    <row r="92" spans="1:18" x14ac:dyDescent="0.25">
      <c r="C92" t="s">
        <v>240</v>
      </c>
      <c r="F92" t="s">
        <v>351</v>
      </c>
      <c r="G92" t="s">
        <v>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033A-ED32-4DE7-94A8-E99D293287AE}">
  <dimension ref="A1:T27"/>
  <sheetViews>
    <sheetView workbookViewId="0">
      <selection activeCell="D14" sqref="D14"/>
    </sheetView>
  </sheetViews>
  <sheetFormatPr defaultRowHeight="15" x14ac:dyDescent="0.25"/>
  <cols>
    <col min="1" max="1" width="11.140625" bestFit="1" customWidth="1"/>
    <col min="4" max="4" width="17.28515625" bestFit="1" customWidth="1"/>
    <col min="15" max="15" width="16.85546875" bestFit="1" customWidth="1"/>
    <col min="16" max="16" width="53.42578125" bestFit="1" customWidth="1"/>
    <col min="17" max="17" width="28" bestFit="1" customWidth="1"/>
    <col min="18" max="18" width="18.85546875" bestFit="1" customWidth="1"/>
  </cols>
  <sheetData>
    <row r="1" spans="1:20" x14ac:dyDescent="0.25">
      <c r="A1" s="1" t="s">
        <v>0</v>
      </c>
      <c r="B1" s="1" t="s">
        <v>357</v>
      </c>
      <c r="C1" s="1" t="s">
        <v>358</v>
      </c>
      <c r="D1" s="1" t="s">
        <v>360</v>
      </c>
      <c r="E1" s="1" t="s">
        <v>343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  <c r="T1" t="s">
        <v>286</v>
      </c>
    </row>
    <row r="2" spans="1:20" x14ac:dyDescent="0.25">
      <c r="A2">
        <v>63</v>
      </c>
      <c r="B2">
        <v>68.5</v>
      </c>
      <c r="C2">
        <v>0</v>
      </c>
      <c r="D2" s="1">
        <v>1670.7</v>
      </c>
      <c r="E2" t="s">
        <v>241</v>
      </c>
      <c r="O2" t="s">
        <v>259</v>
      </c>
      <c r="P2" s="10" t="s">
        <v>163</v>
      </c>
      <c r="Q2" s="1">
        <v>340.01</v>
      </c>
      <c r="R2">
        <v>269.94</v>
      </c>
      <c r="S2">
        <v>340.01</v>
      </c>
      <c r="T2">
        <v>340.01</v>
      </c>
    </row>
    <row r="3" spans="1:20" x14ac:dyDescent="0.25">
      <c r="A3">
        <v>65</v>
      </c>
      <c r="B3">
        <v>68.400000000000006</v>
      </c>
      <c r="C3">
        <v>0</v>
      </c>
      <c r="D3" s="1">
        <v>610.70000000000005</v>
      </c>
      <c r="E3" t="s">
        <v>242</v>
      </c>
      <c r="O3" t="s">
        <v>259</v>
      </c>
      <c r="P3" t="s">
        <v>260</v>
      </c>
      <c r="Q3" s="1">
        <v>0</v>
      </c>
      <c r="R3">
        <v>0</v>
      </c>
      <c r="S3">
        <v>0</v>
      </c>
      <c r="T3">
        <v>0</v>
      </c>
    </row>
    <row r="4" spans="1:20" x14ac:dyDescent="0.25">
      <c r="A4">
        <v>66</v>
      </c>
      <c r="B4">
        <v>67.8</v>
      </c>
      <c r="C4">
        <v>0</v>
      </c>
      <c r="D4" s="1">
        <v>445.09</v>
      </c>
      <c r="E4" t="s">
        <v>243</v>
      </c>
      <c r="O4" t="s">
        <v>259</v>
      </c>
      <c r="P4" t="s">
        <v>172</v>
      </c>
      <c r="Q4" s="1">
        <v>99</v>
      </c>
      <c r="R4">
        <v>99</v>
      </c>
      <c r="S4">
        <v>99</v>
      </c>
      <c r="T4">
        <v>99</v>
      </c>
    </row>
    <row r="5" spans="1:20" x14ac:dyDescent="0.25">
      <c r="A5">
        <v>67</v>
      </c>
      <c r="B5">
        <v>66.7</v>
      </c>
      <c r="C5">
        <v>0</v>
      </c>
      <c r="D5" s="1">
        <v>73.5</v>
      </c>
      <c r="E5" t="s">
        <v>244</v>
      </c>
      <c r="O5" t="s">
        <v>259</v>
      </c>
      <c r="P5" s="10" t="s">
        <v>261</v>
      </c>
      <c r="Q5" s="1">
        <v>1670.7</v>
      </c>
      <c r="R5">
        <v>1624.86</v>
      </c>
      <c r="S5">
        <v>1666.94</v>
      </c>
      <c r="T5">
        <v>1670.7</v>
      </c>
    </row>
    <row r="6" spans="1:20" x14ac:dyDescent="0.25">
      <c r="A6">
        <v>68</v>
      </c>
      <c r="B6">
        <v>66.099999999999994</v>
      </c>
      <c r="C6">
        <v>0</v>
      </c>
      <c r="D6" s="1">
        <v>340.01</v>
      </c>
      <c r="E6" t="s">
        <v>245</v>
      </c>
      <c r="O6" t="s">
        <v>259</v>
      </c>
      <c r="P6" s="10" t="s">
        <v>160</v>
      </c>
      <c r="Q6" s="1">
        <v>445.09</v>
      </c>
      <c r="R6">
        <v>322.13</v>
      </c>
      <c r="S6">
        <v>399.5</v>
      </c>
      <c r="T6">
        <v>407.31</v>
      </c>
    </row>
    <row r="7" spans="1:20" x14ac:dyDescent="0.25">
      <c r="A7">
        <v>69</v>
      </c>
      <c r="B7">
        <v>60</v>
      </c>
      <c r="C7">
        <v>0</v>
      </c>
      <c r="D7" s="3">
        <v>1783.4</v>
      </c>
      <c r="E7" t="s">
        <v>246</v>
      </c>
      <c r="O7" t="s">
        <v>262</v>
      </c>
      <c r="P7" s="10" t="s">
        <v>263</v>
      </c>
      <c r="Q7" s="1">
        <v>73.5</v>
      </c>
      <c r="R7">
        <v>73.5</v>
      </c>
      <c r="S7">
        <v>73.5</v>
      </c>
      <c r="T7">
        <v>73.5</v>
      </c>
    </row>
    <row r="8" spans="1:20" x14ac:dyDescent="0.25">
      <c r="A8">
        <v>70</v>
      </c>
      <c r="B8">
        <v>69</v>
      </c>
      <c r="C8">
        <v>0</v>
      </c>
      <c r="D8" s="1">
        <v>699.68</v>
      </c>
      <c r="E8" t="s">
        <v>288</v>
      </c>
      <c r="O8" t="s">
        <v>262</v>
      </c>
      <c r="P8" t="s">
        <v>264</v>
      </c>
      <c r="Q8" s="1">
        <v>556.27</v>
      </c>
      <c r="R8">
        <v>28.59</v>
      </c>
      <c r="S8">
        <v>28.59</v>
      </c>
      <c r="T8">
        <v>28.59</v>
      </c>
    </row>
    <row r="9" spans="1:20" x14ac:dyDescent="0.25">
      <c r="A9">
        <v>71</v>
      </c>
      <c r="B9">
        <v>67.8</v>
      </c>
      <c r="C9">
        <v>0</v>
      </c>
      <c r="D9" s="1">
        <v>1407.15</v>
      </c>
      <c r="E9" t="s">
        <v>247</v>
      </c>
      <c r="O9" t="s">
        <v>262</v>
      </c>
      <c r="P9" t="s">
        <v>265</v>
      </c>
      <c r="Q9" s="1">
        <v>350</v>
      </c>
      <c r="R9">
        <v>329.55</v>
      </c>
      <c r="S9">
        <v>70</v>
      </c>
      <c r="T9">
        <v>35</v>
      </c>
    </row>
    <row r="10" spans="1:20" x14ac:dyDescent="0.25">
      <c r="A10">
        <v>72</v>
      </c>
      <c r="B10">
        <v>67.5</v>
      </c>
      <c r="C10">
        <v>0</v>
      </c>
      <c r="D10" s="1">
        <v>950</v>
      </c>
      <c r="E10" t="s">
        <v>248</v>
      </c>
      <c r="O10" t="s">
        <v>262</v>
      </c>
      <c r="P10" t="s">
        <v>266</v>
      </c>
      <c r="Q10" s="1">
        <v>296.60000000000002</v>
      </c>
      <c r="R10">
        <v>13.16</v>
      </c>
      <c r="S10">
        <v>136.18</v>
      </c>
      <c r="T10">
        <v>178.16</v>
      </c>
    </row>
    <row r="11" spans="1:20" x14ac:dyDescent="0.25">
      <c r="O11" t="s">
        <v>262</v>
      </c>
      <c r="P11" t="s">
        <v>210</v>
      </c>
      <c r="Q11" s="1">
        <v>201.43</v>
      </c>
      <c r="R11">
        <v>201.43</v>
      </c>
      <c r="S11">
        <v>201.43</v>
      </c>
      <c r="T11">
        <v>201.43</v>
      </c>
    </row>
    <row r="12" spans="1:20" x14ac:dyDescent="0.25">
      <c r="A12" t="s">
        <v>257</v>
      </c>
      <c r="O12" t="s">
        <v>262</v>
      </c>
      <c r="P12" t="s">
        <v>267</v>
      </c>
      <c r="Q12" s="1">
        <v>90</v>
      </c>
      <c r="R12">
        <v>0</v>
      </c>
      <c r="S12">
        <v>90</v>
      </c>
      <c r="T12">
        <v>90</v>
      </c>
    </row>
    <row r="13" spans="1:20" x14ac:dyDescent="0.25">
      <c r="A13" t="s">
        <v>258</v>
      </c>
      <c r="O13" t="s">
        <v>268</v>
      </c>
      <c r="P13" s="10" t="s">
        <v>166</v>
      </c>
      <c r="Q13" s="1">
        <v>1407.15</v>
      </c>
      <c r="R13">
        <v>140.72</v>
      </c>
      <c r="S13">
        <v>647.48</v>
      </c>
      <c r="T13">
        <v>771.66</v>
      </c>
    </row>
    <row r="14" spans="1:20" x14ac:dyDescent="0.25">
      <c r="D14" t="s">
        <v>359</v>
      </c>
      <c r="O14" t="s">
        <v>268</v>
      </c>
      <c r="P14" t="s">
        <v>269</v>
      </c>
      <c r="Q14" s="1">
        <v>420</v>
      </c>
      <c r="R14">
        <v>0</v>
      </c>
      <c r="S14">
        <v>420</v>
      </c>
      <c r="T14">
        <v>420</v>
      </c>
    </row>
    <row r="15" spans="1:20" x14ac:dyDescent="0.25">
      <c r="O15" t="s">
        <v>268</v>
      </c>
      <c r="P15" t="s">
        <v>270</v>
      </c>
      <c r="Q15" s="1">
        <v>0.3</v>
      </c>
      <c r="R15">
        <v>0.3</v>
      </c>
      <c r="S15">
        <v>0.3</v>
      </c>
      <c r="T15">
        <v>0.3</v>
      </c>
    </row>
    <row r="16" spans="1:20" x14ac:dyDescent="0.25">
      <c r="O16" t="s">
        <v>268</v>
      </c>
      <c r="P16" t="s">
        <v>271</v>
      </c>
      <c r="Q16" s="1">
        <v>233.1</v>
      </c>
      <c r="R16">
        <v>27.31</v>
      </c>
      <c r="S16">
        <v>233.1</v>
      </c>
      <c r="T16">
        <v>233.1</v>
      </c>
    </row>
    <row r="17" spans="15:20" x14ac:dyDescent="0.25">
      <c r="O17" t="s">
        <v>268</v>
      </c>
      <c r="P17" t="s">
        <v>272</v>
      </c>
      <c r="Q17" s="1">
        <v>25</v>
      </c>
      <c r="R17">
        <v>610.70000000000005</v>
      </c>
      <c r="S17">
        <v>25</v>
      </c>
      <c r="T17">
        <v>25</v>
      </c>
    </row>
    <row r="18" spans="15:20" x14ac:dyDescent="0.25">
      <c r="O18" t="s">
        <v>268</v>
      </c>
      <c r="P18" s="10" t="s">
        <v>159</v>
      </c>
      <c r="Q18" s="1">
        <v>610.70000000000005</v>
      </c>
      <c r="R18">
        <v>610.70000000000005</v>
      </c>
      <c r="S18">
        <v>610.70000000000005</v>
      </c>
      <c r="T18">
        <v>610.70000000000005</v>
      </c>
    </row>
    <row r="19" spans="15:20" x14ac:dyDescent="0.25">
      <c r="O19" t="s">
        <v>268</v>
      </c>
      <c r="P19" s="12" t="s">
        <v>273</v>
      </c>
      <c r="Q19" s="1">
        <v>179.3</v>
      </c>
      <c r="R19">
        <v>179.3</v>
      </c>
      <c r="S19">
        <v>179.3</v>
      </c>
      <c r="T19">
        <v>179.3</v>
      </c>
    </row>
    <row r="20" spans="15:20" x14ac:dyDescent="0.25">
      <c r="O20" t="s">
        <v>268</v>
      </c>
      <c r="P20" t="s">
        <v>274</v>
      </c>
      <c r="Q20" s="1">
        <v>172.6</v>
      </c>
      <c r="R20">
        <v>100.6</v>
      </c>
      <c r="S20">
        <v>172.6</v>
      </c>
      <c r="T20">
        <v>172.6</v>
      </c>
    </row>
    <row r="21" spans="15:20" x14ac:dyDescent="0.25">
      <c r="O21" t="s">
        <v>268</v>
      </c>
      <c r="P21" t="s">
        <v>275</v>
      </c>
      <c r="Q21" s="1">
        <v>49</v>
      </c>
      <c r="R21">
        <v>49</v>
      </c>
      <c r="S21">
        <v>49</v>
      </c>
      <c r="T21">
        <v>49</v>
      </c>
    </row>
    <row r="22" spans="15:20" x14ac:dyDescent="0.25">
      <c r="O22" t="s">
        <v>276</v>
      </c>
      <c r="P22" s="10" t="s">
        <v>204</v>
      </c>
      <c r="Q22" s="1">
        <v>950</v>
      </c>
      <c r="R22">
        <v>95</v>
      </c>
      <c r="S22">
        <v>95</v>
      </c>
      <c r="T22">
        <v>95</v>
      </c>
    </row>
    <row r="23" spans="15:20" x14ac:dyDescent="0.25">
      <c r="O23" t="s">
        <v>276</v>
      </c>
      <c r="P23" t="s">
        <v>277</v>
      </c>
      <c r="Q23" s="1">
        <v>3.3</v>
      </c>
      <c r="R23">
        <v>3.3</v>
      </c>
      <c r="S23">
        <v>3.3</v>
      </c>
      <c r="T23">
        <v>3.3</v>
      </c>
    </row>
    <row r="24" spans="15:20" x14ac:dyDescent="0.25">
      <c r="O24" t="s">
        <v>276</v>
      </c>
      <c r="P24" s="10" t="s">
        <v>278</v>
      </c>
      <c r="Q24" s="1">
        <v>1297.8</v>
      </c>
      <c r="R24">
        <v>1146.3</v>
      </c>
      <c r="S24">
        <v>1297.8</v>
      </c>
      <c r="T24">
        <v>1297.8</v>
      </c>
    </row>
    <row r="25" spans="15:20" x14ac:dyDescent="0.25">
      <c r="O25" t="s">
        <v>279</v>
      </c>
      <c r="P25" s="10" t="s">
        <v>280</v>
      </c>
      <c r="Q25" s="1">
        <v>485.6</v>
      </c>
      <c r="R25">
        <v>0</v>
      </c>
      <c r="S25">
        <v>180.02</v>
      </c>
      <c r="T25">
        <v>485.6</v>
      </c>
    </row>
    <row r="26" spans="15:20" x14ac:dyDescent="0.25">
      <c r="O26" t="s">
        <v>279</v>
      </c>
      <c r="P26" s="10" t="s">
        <v>189</v>
      </c>
      <c r="Q26" s="1">
        <v>699.68</v>
      </c>
      <c r="R26">
        <v>35.380000000000003</v>
      </c>
      <c r="S26">
        <v>277.08</v>
      </c>
      <c r="T26">
        <v>277.08</v>
      </c>
    </row>
    <row r="27" spans="15:20" x14ac:dyDescent="0.25">
      <c r="P27" s="11" t="s">
        <v>287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B028-F397-445A-AC47-E97568BBB5EB}">
  <dimension ref="A1:G214"/>
  <sheetViews>
    <sheetView workbookViewId="0">
      <selection sqref="A1:B1"/>
    </sheetView>
  </sheetViews>
  <sheetFormatPr defaultRowHeight="15" x14ac:dyDescent="0.25"/>
  <cols>
    <col min="1" max="1" width="16.28515625" bestFit="1" customWidth="1"/>
    <col min="2" max="2" width="15.85546875" bestFit="1" customWidth="1"/>
    <col min="4" max="4" width="16.28515625" bestFit="1" customWidth="1"/>
  </cols>
  <sheetData>
    <row r="1" spans="1:7" x14ac:dyDescent="0.25">
      <c r="A1" s="1" t="s">
        <v>367</v>
      </c>
      <c r="B1" s="1" t="s">
        <v>291</v>
      </c>
      <c r="D1" t="s">
        <v>292</v>
      </c>
      <c r="E1" t="s">
        <v>291</v>
      </c>
      <c r="G1" t="s">
        <v>289</v>
      </c>
    </row>
    <row r="2" spans="1:7" x14ac:dyDescent="0.25">
      <c r="A2">
        <v>16480.894100000001</v>
      </c>
      <c r="B2" s="13">
        <v>44228</v>
      </c>
      <c r="G2" t="s">
        <v>290</v>
      </c>
    </row>
    <row r="3" spans="1:7" x14ac:dyDescent="0.25">
      <c r="A3">
        <v>16706.145500000002</v>
      </c>
      <c r="B3" s="13">
        <v>44235</v>
      </c>
    </row>
    <row r="4" spans="1:7" x14ac:dyDescent="0.25">
      <c r="A4">
        <v>16095.2364</v>
      </c>
      <c r="B4" s="13">
        <v>44242</v>
      </c>
    </row>
    <row r="5" spans="1:7" x14ac:dyDescent="0.25">
      <c r="A5">
        <v>15757.359300000002</v>
      </c>
      <c r="B5" s="13">
        <v>44249</v>
      </c>
    </row>
    <row r="6" spans="1:7" x14ac:dyDescent="0.25">
      <c r="A6">
        <v>15842.681800000002</v>
      </c>
      <c r="B6" s="13">
        <v>44256</v>
      </c>
    </row>
    <row r="7" spans="1:7" x14ac:dyDescent="0.25">
      <c r="A7">
        <v>15921.1785</v>
      </c>
      <c r="B7" s="13">
        <v>44263</v>
      </c>
    </row>
    <row r="8" spans="1:7" x14ac:dyDescent="0.25">
      <c r="A8">
        <v>15958.7204</v>
      </c>
      <c r="B8" s="13">
        <v>44270</v>
      </c>
    </row>
    <row r="9" spans="1:7" x14ac:dyDescent="0.25">
      <c r="A9">
        <v>16286.3588</v>
      </c>
      <c r="B9" s="13">
        <v>44277</v>
      </c>
    </row>
    <row r="10" spans="1:7" x14ac:dyDescent="0.25">
      <c r="A10">
        <v>17422.854500000001</v>
      </c>
      <c r="B10" s="13">
        <v>44284</v>
      </c>
    </row>
    <row r="11" spans="1:7" x14ac:dyDescent="0.25">
      <c r="A11">
        <v>17934.789499999999</v>
      </c>
      <c r="B11" s="13">
        <v>44291</v>
      </c>
    </row>
    <row r="12" spans="1:7" x14ac:dyDescent="0.25">
      <c r="A12">
        <v>18426.247100000001</v>
      </c>
      <c r="B12" s="13">
        <v>44298</v>
      </c>
    </row>
    <row r="13" spans="1:7" x14ac:dyDescent="0.25">
      <c r="A13">
        <v>17873.3573</v>
      </c>
      <c r="B13" s="13">
        <v>44305</v>
      </c>
    </row>
    <row r="14" spans="1:7" x14ac:dyDescent="0.25">
      <c r="A14">
        <v>19487.659000000003</v>
      </c>
      <c r="B14" s="13">
        <v>44312</v>
      </c>
    </row>
    <row r="15" spans="1:7" x14ac:dyDescent="0.25">
      <c r="A15">
        <v>21323.799200000001</v>
      </c>
      <c r="B15" s="13">
        <v>44319</v>
      </c>
    </row>
    <row r="16" spans="1:7" x14ac:dyDescent="0.25">
      <c r="A16">
        <v>22494.423900000002</v>
      </c>
      <c r="B16" s="13">
        <v>44326</v>
      </c>
    </row>
    <row r="17" spans="1:2" x14ac:dyDescent="0.25">
      <c r="A17">
        <v>20770.9094</v>
      </c>
      <c r="B17" s="13">
        <v>44333</v>
      </c>
    </row>
    <row r="18" spans="1:2" x14ac:dyDescent="0.25">
      <c r="A18">
        <v>21074.657500000001</v>
      </c>
      <c r="B18" s="13">
        <v>44340</v>
      </c>
    </row>
    <row r="19" spans="1:2" x14ac:dyDescent="0.25">
      <c r="A19">
        <v>20972.270500000002</v>
      </c>
      <c r="B19" s="13">
        <v>44347</v>
      </c>
    </row>
    <row r="20" spans="1:2" x14ac:dyDescent="0.25">
      <c r="A20">
        <v>23368.1263</v>
      </c>
      <c r="B20" s="13">
        <v>44354</v>
      </c>
    </row>
    <row r="21" spans="1:2" x14ac:dyDescent="0.25">
      <c r="A21">
        <v>24173.5707</v>
      </c>
      <c r="B21" s="13">
        <v>44361</v>
      </c>
    </row>
    <row r="22" spans="1:2" x14ac:dyDescent="0.25">
      <c r="A22">
        <v>23644.571200000002</v>
      </c>
      <c r="B22" s="13">
        <v>44368</v>
      </c>
    </row>
    <row r="23" spans="1:2" x14ac:dyDescent="0.25">
      <c r="A23">
        <v>25381.737300000004</v>
      </c>
      <c r="B23" s="13">
        <v>44375</v>
      </c>
    </row>
    <row r="24" spans="1:2" x14ac:dyDescent="0.25">
      <c r="A24">
        <v>28777.572799999998</v>
      </c>
      <c r="B24" s="13">
        <v>44382</v>
      </c>
    </row>
    <row r="25" spans="1:2" x14ac:dyDescent="0.25">
      <c r="A25">
        <v>28132.534700000004</v>
      </c>
      <c r="B25" s="13">
        <v>44389</v>
      </c>
    </row>
    <row r="26" spans="1:2" x14ac:dyDescent="0.25">
      <c r="A26">
        <v>25415.866300000002</v>
      </c>
      <c r="B26" s="13">
        <v>44396</v>
      </c>
    </row>
    <row r="27" spans="1:2" x14ac:dyDescent="0.25">
      <c r="A27">
        <v>28415.805400000005</v>
      </c>
      <c r="B27" s="13">
        <v>44403</v>
      </c>
    </row>
    <row r="28" spans="1:2" x14ac:dyDescent="0.25">
      <c r="A28">
        <v>21975.663100000002</v>
      </c>
      <c r="B28" s="13">
        <v>44410</v>
      </c>
    </row>
    <row r="29" spans="1:2" x14ac:dyDescent="0.25">
      <c r="A29">
        <v>25419.279200000004</v>
      </c>
      <c r="B29" s="13">
        <v>44417</v>
      </c>
    </row>
    <row r="30" spans="1:2" x14ac:dyDescent="0.25">
      <c r="A30">
        <v>24620.660600000003</v>
      </c>
      <c r="B30" s="13">
        <v>44424</v>
      </c>
    </row>
    <row r="31" spans="1:2" x14ac:dyDescent="0.25">
      <c r="A31">
        <v>25340.782500000001</v>
      </c>
      <c r="B31" s="13">
        <v>44431</v>
      </c>
    </row>
    <row r="32" spans="1:2" x14ac:dyDescent="0.25">
      <c r="A32">
        <v>26054.078600000004</v>
      </c>
      <c r="B32" s="13">
        <v>44438</v>
      </c>
    </row>
    <row r="33" spans="1:2" x14ac:dyDescent="0.25">
      <c r="A33">
        <v>27388.522500000003</v>
      </c>
      <c r="B33" s="13">
        <v>44445</v>
      </c>
    </row>
    <row r="34" spans="1:2" x14ac:dyDescent="0.25">
      <c r="A34">
        <v>28507.953700000002</v>
      </c>
      <c r="B34" s="13">
        <v>44452</v>
      </c>
    </row>
    <row r="35" spans="1:2" x14ac:dyDescent="0.25">
      <c r="A35">
        <v>31101.757700000002</v>
      </c>
      <c r="B35" s="13">
        <v>44459</v>
      </c>
    </row>
    <row r="36" spans="1:2" x14ac:dyDescent="0.25">
      <c r="A36">
        <v>38357.583100000003</v>
      </c>
      <c r="B36" s="13">
        <v>44466</v>
      </c>
    </row>
    <row r="37" spans="1:2" x14ac:dyDescent="0.25">
      <c r="A37">
        <v>39258.5887</v>
      </c>
      <c r="B37" s="13">
        <v>44473</v>
      </c>
    </row>
    <row r="38" spans="1:2" x14ac:dyDescent="0.25">
      <c r="A38">
        <v>36473.662300000004</v>
      </c>
      <c r="B38" s="13">
        <v>44480</v>
      </c>
    </row>
    <row r="39" spans="1:2" x14ac:dyDescent="0.25">
      <c r="A39">
        <v>39176.679100000001</v>
      </c>
      <c r="B39" s="13">
        <v>44487</v>
      </c>
    </row>
    <row r="40" spans="1:2" x14ac:dyDescent="0.25">
      <c r="A40">
        <v>38401.950799999999</v>
      </c>
      <c r="B40" s="13">
        <v>44494</v>
      </c>
    </row>
    <row r="41" spans="1:2" x14ac:dyDescent="0.25">
      <c r="A41">
        <v>36060.701399999998</v>
      </c>
      <c r="B41" s="13">
        <v>44501</v>
      </c>
    </row>
    <row r="42" spans="1:2" x14ac:dyDescent="0.25">
      <c r="A42">
        <v>35422.489100000006</v>
      </c>
      <c r="B42" s="13">
        <v>44508</v>
      </c>
    </row>
    <row r="43" spans="1:2" x14ac:dyDescent="0.25">
      <c r="A43">
        <v>37801.280400000003</v>
      </c>
      <c r="B43" s="13">
        <v>44515</v>
      </c>
    </row>
    <row r="44" spans="1:2" x14ac:dyDescent="0.25">
      <c r="A44">
        <v>38115.267200000002</v>
      </c>
      <c r="B44" s="13">
        <v>44522</v>
      </c>
    </row>
    <row r="45" spans="1:2" x14ac:dyDescent="0.25">
      <c r="A45">
        <v>39504.317500000005</v>
      </c>
      <c r="B45" s="13">
        <v>44529</v>
      </c>
    </row>
    <row r="46" spans="1:2" x14ac:dyDescent="0.25">
      <c r="A46">
        <v>51278.822500000002</v>
      </c>
      <c r="B46" s="13">
        <v>44536</v>
      </c>
    </row>
    <row r="47" spans="1:2" x14ac:dyDescent="0.25">
      <c r="A47">
        <v>64800.732300000003</v>
      </c>
      <c r="B47" s="13">
        <v>44543</v>
      </c>
    </row>
    <row r="48" spans="1:2" x14ac:dyDescent="0.25">
      <c r="A48">
        <v>92189.25480000001</v>
      </c>
      <c r="B48" s="13">
        <v>44550</v>
      </c>
    </row>
    <row r="49" spans="1:2" x14ac:dyDescent="0.25">
      <c r="A49">
        <v>62991.895300000004</v>
      </c>
      <c r="B49" s="13">
        <v>44557</v>
      </c>
    </row>
    <row r="50" spans="1:2" x14ac:dyDescent="0.25">
      <c r="A50">
        <v>71131.661800000002</v>
      </c>
      <c r="B50" s="13">
        <v>44564</v>
      </c>
    </row>
    <row r="51" spans="1:2" x14ac:dyDescent="0.25">
      <c r="A51">
        <v>62418.528099999996</v>
      </c>
      <c r="B51" s="13">
        <v>44571</v>
      </c>
    </row>
    <row r="52" spans="1:2" x14ac:dyDescent="0.25">
      <c r="A52">
        <v>53961.361900000011</v>
      </c>
      <c r="B52" s="13">
        <v>44578</v>
      </c>
    </row>
    <row r="53" spans="1:2" x14ac:dyDescent="0.25">
      <c r="A53">
        <v>71769.874100000001</v>
      </c>
      <c r="B53" s="13">
        <v>44585</v>
      </c>
    </row>
    <row r="54" spans="1:2" x14ac:dyDescent="0.25">
      <c r="A54">
        <v>60053.388400000003</v>
      </c>
      <c r="B54" s="13">
        <v>44592</v>
      </c>
    </row>
    <row r="55" spans="1:2" x14ac:dyDescent="0.25">
      <c r="A55">
        <v>58817.918600000005</v>
      </c>
      <c r="B55" s="13">
        <v>44599</v>
      </c>
    </row>
    <row r="56" spans="1:2" x14ac:dyDescent="0.25">
      <c r="A56">
        <v>54992.057700000005</v>
      </c>
      <c r="B56" s="13">
        <v>44606</v>
      </c>
    </row>
    <row r="57" spans="1:2" x14ac:dyDescent="0.25">
      <c r="A57">
        <v>66247.801900000006</v>
      </c>
      <c r="B57" s="13">
        <v>44613</v>
      </c>
    </row>
    <row r="58" spans="1:2" x14ac:dyDescent="0.25">
      <c r="A58">
        <v>100509.905</v>
      </c>
      <c r="B58" s="13">
        <v>44620</v>
      </c>
    </row>
    <row r="59" spans="1:2" x14ac:dyDescent="0.25">
      <c r="A59">
        <v>107342.53079999999</v>
      </c>
      <c r="B59" s="13">
        <v>44627</v>
      </c>
    </row>
    <row r="60" spans="1:2" x14ac:dyDescent="0.25">
      <c r="A60">
        <v>75066.735499999995</v>
      </c>
      <c r="B60" s="13">
        <v>44634</v>
      </c>
    </row>
    <row r="61" spans="1:2" x14ac:dyDescent="0.25">
      <c r="A61">
        <v>78012.068200000009</v>
      </c>
      <c r="B61" s="13">
        <v>44641</v>
      </c>
    </row>
    <row r="62" spans="1:2" x14ac:dyDescent="0.25">
      <c r="A62">
        <v>78728.777200000011</v>
      </c>
      <c r="B62" s="13">
        <v>44648</v>
      </c>
    </row>
    <row r="63" spans="1:2" x14ac:dyDescent="0.25">
      <c r="A63">
        <v>88428.239000000016</v>
      </c>
      <c r="B63" s="13">
        <v>44655</v>
      </c>
    </row>
    <row r="64" spans="1:2" x14ac:dyDescent="0.25">
      <c r="A64">
        <v>80786.755900000004</v>
      </c>
      <c r="B64" s="13">
        <v>44662</v>
      </c>
    </row>
    <row r="65" spans="1:2" x14ac:dyDescent="0.25">
      <c r="A65">
        <v>77240.752800000002</v>
      </c>
      <c r="B65" s="13">
        <v>44669</v>
      </c>
    </row>
    <row r="66" spans="1:2" x14ac:dyDescent="0.25">
      <c r="A66">
        <v>74899.503400000001</v>
      </c>
      <c r="B66" s="13">
        <v>44676</v>
      </c>
    </row>
    <row r="67" spans="1:2" x14ac:dyDescent="0.25">
      <c r="A67">
        <v>76520.630900000004</v>
      </c>
      <c r="B67" s="13">
        <v>44683</v>
      </c>
    </row>
    <row r="68" spans="1:2" x14ac:dyDescent="0.25">
      <c r="A68">
        <v>75350.006200000003</v>
      </c>
      <c r="B68" s="13">
        <v>44690</v>
      </c>
    </row>
    <row r="69" spans="1:2" x14ac:dyDescent="0.25">
      <c r="A69">
        <v>76165.689299999998</v>
      </c>
      <c r="B69" s="13">
        <v>44697</v>
      </c>
    </row>
    <row r="70" spans="1:2" x14ac:dyDescent="0.25">
      <c r="A70">
        <v>73527.517600000006</v>
      </c>
      <c r="B70" s="13">
        <v>44704</v>
      </c>
    </row>
    <row r="71" spans="1:2" x14ac:dyDescent="0.25">
      <c r="A71">
        <v>77995.003700000001</v>
      </c>
      <c r="B71" s="13">
        <v>44711</v>
      </c>
    </row>
    <row r="72" spans="1:2" x14ac:dyDescent="0.25">
      <c r="A72">
        <v>76384.1149</v>
      </c>
      <c r="B72" s="13">
        <v>44718</v>
      </c>
    </row>
    <row r="73" spans="1:2" x14ac:dyDescent="0.25">
      <c r="A73">
        <v>84691.113500000007</v>
      </c>
      <c r="B73" s="13">
        <v>44725</v>
      </c>
    </row>
    <row r="74" spans="1:2" x14ac:dyDescent="0.25">
      <c r="A74">
        <v>90318.9856</v>
      </c>
      <c r="B74" s="13">
        <v>44732</v>
      </c>
    </row>
    <row r="75" spans="1:2" x14ac:dyDescent="0.25">
      <c r="A75">
        <v>92643.170500000007</v>
      </c>
      <c r="B75" s="13">
        <v>44739</v>
      </c>
    </row>
    <row r="76" spans="1:2" x14ac:dyDescent="0.25">
      <c r="A76">
        <v>120209.16380000001</v>
      </c>
      <c r="B76" s="13">
        <v>44746</v>
      </c>
    </row>
    <row r="77" spans="1:2" x14ac:dyDescent="0.25">
      <c r="A77">
        <v>136215.6648</v>
      </c>
      <c r="B77" s="13">
        <v>44753</v>
      </c>
    </row>
    <row r="78" spans="1:2" x14ac:dyDescent="0.25">
      <c r="A78">
        <v>125976.96480000002</v>
      </c>
      <c r="B78" s="13">
        <v>44760</v>
      </c>
    </row>
    <row r="79" spans="1:2" x14ac:dyDescent="0.25">
      <c r="A79">
        <v>143635.30940000003</v>
      </c>
      <c r="B79" s="13">
        <v>44767</v>
      </c>
    </row>
    <row r="80" spans="1:2" x14ac:dyDescent="0.25">
      <c r="A80">
        <v>116489.10280000001</v>
      </c>
      <c r="B80" s="13">
        <v>44774</v>
      </c>
    </row>
    <row r="81" spans="1:2" x14ac:dyDescent="0.25">
      <c r="A81">
        <v>131232.8308</v>
      </c>
      <c r="B81" s="13">
        <v>44781</v>
      </c>
    </row>
    <row r="82" spans="1:2" x14ac:dyDescent="0.25">
      <c r="A82">
        <v>172897.51400000002</v>
      </c>
      <c r="B82" s="13">
        <v>44788</v>
      </c>
    </row>
    <row r="83" spans="1:2" x14ac:dyDescent="0.25">
      <c r="A83">
        <v>202234.80239999999</v>
      </c>
      <c r="B83" s="13">
        <v>44795</v>
      </c>
    </row>
    <row r="84" spans="1:2" x14ac:dyDescent="0.25">
      <c r="A84">
        <v>152775.05559999999</v>
      </c>
      <c r="B84" s="13">
        <v>44802</v>
      </c>
    </row>
    <row r="85" spans="1:2" x14ac:dyDescent="0.25">
      <c r="A85">
        <v>160157.15830000001</v>
      </c>
      <c r="B85" s="13">
        <v>44809</v>
      </c>
    </row>
    <row r="86" spans="1:2" x14ac:dyDescent="0.25">
      <c r="A86">
        <v>149218.81380000003</v>
      </c>
      <c r="B86" s="13">
        <v>44816</v>
      </c>
    </row>
    <row r="87" spans="1:2" x14ac:dyDescent="0.25">
      <c r="A87">
        <v>148549.8854</v>
      </c>
      <c r="B87" s="13">
        <v>44823</v>
      </c>
    </row>
    <row r="88" spans="1:2" x14ac:dyDescent="0.25">
      <c r="A88">
        <v>149638.6005</v>
      </c>
      <c r="B88" s="13">
        <v>44830</v>
      </c>
    </row>
    <row r="89" spans="1:2" x14ac:dyDescent="0.25">
      <c r="A89">
        <v>147307.58980000002</v>
      </c>
      <c r="B89" s="13">
        <v>44837</v>
      </c>
    </row>
    <row r="90" spans="1:2" x14ac:dyDescent="0.25">
      <c r="A90">
        <v>140812.84109999999</v>
      </c>
      <c r="B90" s="13">
        <v>44844</v>
      </c>
    </row>
    <row r="91" spans="1:2" x14ac:dyDescent="0.25">
      <c r="A91">
        <v>124407.03080000001</v>
      </c>
      <c r="B91" s="13">
        <v>44851</v>
      </c>
    </row>
    <row r="92" spans="1:2" x14ac:dyDescent="0.25">
      <c r="A92">
        <v>116100.03220000002</v>
      </c>
      <c r="B92" s="13">
        <v>44858</v>
      </c>
    </row>
    <row r="93" spans="1:2" x14ac:dyDescent="0.25">
      <c r="A93">
        <v>105619.01630000002</v>
      </c>
      <c r="B93" s="13">
        <v>44865</v>
      </c>
    </row>
    <row r="94" spans="1:2" x14ac:dyDescent="0.25">
      <c r="A94">
        <v>100175.4408</v>
      </c>
      <c r="B94" s="13">
        <v>44872</v>
      </c>
    </row>
    <row r="95" spans="1:2" x14ac:dyDescent="0.25">
      <c r="A95">
        <v>98260.803900000014</v>
      </c>
      <c r="B95" s="13">
        <v>44879</v>
      </c>
    </row>
    <row r="96" spans="1:2" x14ac:dyDescent="0.25">
      <c r="A96">
        <v>107530.2403</v>
      </c>
      <c r="B96" s="13">
        <v>44886</v>
      </c>
    </row>
    <row r="97" spans="1:2" x14ac:dyDescent="0.25">
      <c r="A97">
        <v>116383.30290000001</v>
      </c>
      <c r="B97" s="13">
        <v>44893</v>
      </c>
    </row>
    <row r="98" spans="1:2" x14ac:dyDescent="0.25">
      <c r="A98">
        <v>118482.23640000001</v>
      </c>
      <c r="B98" s="13">
        <v>44900</v>
      </c>
    </row>
    <row r="99" spans="1:2" x14ac:dyDescent="0.25">
      <c r="A99">
        <v>113243.43490000001</v>
      </c>
      <c r="B99" s="13">
        <v>44907</v>
      </c>
    </row>
    <row r="100" spans="1:2" x14ac:dyDescent="0.25">
      <c r="A100">
        <v>85295.196800000005</v>
      </c>
      <c r="B100" s="13">
        <v>44914</v>
      </c>
    </row>
    <row r="101" spans="1:2" x14ac:dyDescent="0.25">
      <c r="A101">
        <v>74278.355599999995</v>
      </c>
      <c r="B101" s="13">
        <v>44921</v>
      </c>
    </row>
    <row r="102" spans="1:2" x14ac:dyDescent="0.25">
      <c r="A102">
        <v>65019.157899999998</v>
      </c>
      <c r="B102" s="13">
        <v>44928</v>
      </c>
    </row>
    <row r="103" spans="1:2" x14ac:dyDescent="0.25">
      <c r="A103">
        <v>65684.6734</v>
      </c>
      <c r="B103" s="13">
        <v>44935</v>
      </c>
    </row>
    <row r="104" spans="1:2" x14ac:dyDescent="0.25">
      <c r="A104">
        <v>58217.248200000009</v>
      </c>
      <c r="B104" s="13">
        <v>44942</v>
      </c>
    </row>
    <row r="105" spans="1:2" x14ac:dyDescent="0.25">
      <c r="A105">
        <v>55804.327900000004</v>
      </c>
      <c r="B105" s="13">
        <v>44949</v>
      </c>
    </row>
    <row r="106" spans="1:2" x14ac:dyDescent="0.25">
      <c r="A106">
        <v>55364.063800000004</v>
      </c>
      <c r="B106" s="13">
        <v>44956</v>
      </c>
    </row>
    <row r="107" spans="1:2" x14ac:dyDescent="0.25">
      <c r="A107">
        <v>52637.1567</v>
      </c>
      <c r="B107" s="13">
        <v>44963</v>
      </c>
    </row>
    <row r="108" spans="1:2" x14ac:dyDescent="0.25">
      <c r="A108">
        <v>50012.636599999998</v>
      </c>
      <c r="B108" s="13">
        <v>44970</v>
      </c>
    </row>
    <row r="109" spans="1:2" x14ac:dyDescent="0.25">
      <c r="A109">
        <v>46927.375</v>
      </c>
      <c r="B109" s="13">
        <v>44977</v>
      </c>
    </row>
    <row r="110" spans="1:2" x14ac:dyDescent="0.25">
      <c r="A110">
        <v>46227.730499999998</v>
      </c>
      <c r="B110" s="13">
        <v>44984</v>
      </c>
    </row>
    <row r="111" spans="1:2" x14ac:dyDescent="0.25">
      <c r="A111">
        <v>43118.578600000001</v>
      </c>
      <c r="B111" s="13">
        <v>44991</v>
      </c>
    </row>
    <row r="112" spans="1:2" x14ac:dyDescent="0.25">
      <c r="A112">
        <v>43767.029600000009</v>
      </c>
      <c r="B112" s="13">
        <v>44998</v>
      </c>
    </row>
    <row r="113" spans="1:2" x14ac:dyDescent="0.25">
      <c r="A113">
        <v>41845.566900000005</v>
      </c>
      <c r="B113" s="13">
        <v>45005</v>
      </c>
    </row>
    <row r="114" spans="1:2" x14ac:dyDescent="0.25">
      <c r="A114">
        <v>44592.951399999998</v>
      </c>
      <c r="B114" s="13">
        <v>45012</v>
      </c>
    </row>
    <row r="115" spans="1:2" x14ac:dyDescent="0.25">
      <c r="A115">
        <v>49097.979400000011</v>
      </c>
      <c r="B115" s="13">
        <v>45019</v>
      </c>
    </row>
    <row r="116" spans="1:2" x14ac:dyDescent="0.25">
      <c r="A116">
        <v>46005.892000000007</v>
      </c>
      <c r="B116" s="13">
        <v>45026</v>
      </c>
    </row>
    <row r="117" spans="1:2" x14ac:dyDescent="0.25">
      <c r="A117">
        <v>45036.628400000009</v>
      </c>
      <c r="B117" s="13">
        <v>45033</v>
      </c>
    </row>
    <row r="118" spans="1:2" x14ac:dyDescent="0.25">
      <c r="A118">
        <v>44231.184000000001</v>
      </c>
      <c r="B118" s="13">
        <v>45040</v>
      </c>
    </row>
    <row r="119" spans="1:2" x14ac:dyDescent="0.25">
      <c r="A119">
        <v>42169.792400000006</v>
      </c>
      <c r="B119" s="13">
        <v>45047</v>
      </c>
    </row>
    <row r="120" spans="1:2" x14ac:dyDescent="0.25">
      <c r="A120">
        <v>41893.347500000003</v>
      </c>
      <c r="B120" s="13">
        <v>45054</v>
      </c>
    </row>
    <row r="121" spans="1:2" x14ac:dyDescent="0.25">
      <c r="A121">
        <v>38616.963500000005</v>
      </c>
      <c r="B121" s="13">
        <v>45061</v>
      </c>
    </row>
    <row r="122" spans="1:2" x14ac:dyDescent="0.25">
      <c r="A122">
        <v>40122.0524</v>
      </c>
      <c r="B122" s="13">
        <v>45068</v>
      </c>
    </row>
    <row r="123" spans="1:2" x14ac:dyDescent="0.25">
      <c r="A123">
        <v>36565.810600000004</v>
      </c>
      <c r="B123" s="13">
        <v>45075</v>
      </c>
    </row>
    <row r="124" spans="1:2" x14ac:dyDescent="0.25">
      <c r="A124">
        <v>37289.345400000006</v>
      </c>
      <c r="B124" s="13">
        <v>45082</v>
      </c>
    </row>
    <row r="125" spans="1:2" x14ac:dyDescent="0.25">
      <c r="A125">
        <v>46978.568500000001</v>
      </c>
      <c r="B125" s="13">
        <v>45089</v>
      </c>
    </row>
    <row r="126" spans="1:2" x14ac:dyDescent="0.25">
      <c r="A126">
        <v>46207.253100000002</v>
      </c>
      <c r="B126" s="13">
        <v>45096</v>
      </c>
    </row>
    <row r="127" spans="1:2" x14ac:dyDescent="0.25">
      <c r="A127">
        <v>43722.661900000006</v>
      </c>
      <c r="B127" s="13">
        <v>45103</v>
      </c>
    </row>
    <row r="128" spans="1:2" x14ac:dyDescent="0.25">
      <c r="A128">
        <v>44589.538500000002</v>
      </c>
      <c r="B128" s="13">
        <v>45110</v>
      </c>
    </row>
    <row r="129" spans="1:2" x14ac:dyDescent="0.25">
      <c r="A129">
        <v>42391.630900000004</v>
      </c>
      <c r="B129" s="13">
        <v>45117</v>
      </c>
    </row>
    <row r="130" spans="1:2" x14ac:dyDescent="0.25">
      <c r="A130">
        <v>42695.379000000001</v>
      </c>
      <c r="B130" s="13">
        <v>45124</v>
      </c>
    </row>
    <row r="131" spans="1:2" x14ac:dyDescent="0.25">
      <c r="A131">
        <v>43777.268300000003</v>
      </c>
      <c r="B131" s="13">
        <v>45131</v>
      </c>
    </row>
    <row r="132" spans="1:2" x14ac:dyDescent="0.25">
      <c r="A132">
        <v>40709.071200000006</v>
      </c>
      <c r="B132" s="13">
        <v>45138</v>
      </c>
    </row>
    <row r="133" spans="1:2" x14ac:dyDescent="0.25">
      <c r="A133">
        <v>42087.882799999999</v>
      </c>
      <c r="B133" s="13">
        <v>45145</v>
      </c>
    </row>
    <row r="134" spans="1:2" x14ac:dyDescent="0.25">
      <c r="A134">
        <v>45855.724400000006</v>
      </c>
      <c r="B134" s="13">
        <v>45152</v>
      </c>
    </row>
    <row r="135" spans="1:2" x14ac:dyDescent="0.25">
      <c r="A135">
        <v>47442.722900000001</v>
      </c>
      <c r="B135" s="13">
        <v>45159</v>
      </c>
    </row>
    <row r="136" spans="1:2" x14ac:dyDescent="0.25">
      <c r="A136">
        <v>46094.627400000005</v>
      </c>
      <c r="B136" s="13">
        <v>45166</v>
      </c>
    </row>
    <row r="137" spans="1:2" x14ac:dyDescent="0.25">
      <c r="A137">
        <v>45685.07940000001</v>
      </c>
      <c r="B137" s="13">
        <v>45173</v>
      </c>
    </row>
    <row r="138" spans="1:2" x14ac:dyDescent="0.25">
      <c r="A138">
        <v>45101.473500000007</v>
      </c>
      <c r="B138" s="13">
        <v>45180</v>
      </c>
    </row>
    <row r="139" spans="1:2" x14ac:dyDescent="0.25">
      <c r="A139">
        <v>44732.880299999997</v>
      </c>
      <c r="B139" s="13">
        <v>45187</v>
      </c>
    </row>
    <row r="140" spans="1:2" x14ac:dyDescent="0.25">
      <c r="A140">
        <v>43835.287600000003</v>
      </c>
      <c r="B140" s="13">
        <v>45194</v>
      </c>
    </row>
    <row r="141" spans="1:2" x14ac:dyDescent="0.25">
      <c r="A141">
        <v>40927.496800000001</v>
      </c>
      <c r="B141" s="13">
        <v>45201</v>
      </c>
    </row>
    <row r="142" spans="1:2" x14ac:dyDescent="0.25">
      <c r="A142">
        <v>47746.471000000005</v>
      </c>
      <c r="B142" s="13">
        <v>45208</v>
      </c>
    </row>
    <row r="143" spans="1:2" x14ac:dyDescent="0.25">
      <c r="A143">
        <v>48005.8514</v>
      </c>
      <c r="B143" s="13">
        <v>45215</v>
      </c>
    </row>
    <row r="144" spans="1:2" x14ac:dyDescent="0.25">
      <c r="A144">
        <v>47115.084500000004</v>
      </c>
      <c r="B144" s="13">
        <v>45222</v>
      </c>
    </row>
    <row r="145" spans="1:2" x14ac:dyDescent="0.25">
      <c r="A145">
        <v>43302.875200000002</v>
      </c>
      <c r="B145" s="13">
        <v>45229</v>
      </c>
    </row>
    <row r="146" spans="1:2" x14ac:dyDescent="0.25">
      <c r="A146">
        <v>42640.772600000004</v>
      </c>
      <c r="B146" s="13">
        <v>45236</v>
      </c>
    </row>
    <row r="147" spans="1:2" x14ac:dyDescent="0.25">
      <c r="A147">
        <v>42200.508500000004</v>
      </c>
      <c r="B147" s="13">
        <v>45243</v>
      </c>
    </row>
    <row r="148" spans="1:2" x14ac:dyDescent="0.25">
      <c r="A148">
        <v>41893.347500000003</v>
      </c>
      <c r="B148" s="13">
        <v>45250</v>
      </c>
    </row>
    <row r="149" spans="1:2" x14ac:dyDescent="0.25">
      <c r="A149">
        <v>37739.8482</v>
      </c>
      <c r="B149" s="13">
        <v>45257</v>
      </c>
    </row>
    <row r="150" spans="1:2" x14ac:dyDescent="0.25">
      <c r="A150">
        <v>36429.294600000001</v>
      </c>
      <c r="B150" s="13">
        <v>45264</v>
      </c>
    </row>
    <row r="151" spans="1:2" x14ac:dyDescent="0.25">
      <c r="A151">
        <v>33453.245800000004</v>
      </c>
      <c r="B151" s="13">
        <v>45271</v>
      </c>
    </row>
    <row r="152" spans="1:2" x14ac:dyDescent="0.25">
      <c r="A152">
        <v>30586.409800000005</v>
      </c>
      <c r="B152" s="13">
        <v>45278</v>
      </c>
    </row>
    <row r="153" spans="1:2" x14ac:dyDescent="0.25">
      <c r="A153">
        <v>30432.829300000001</v>
      </c>
      <c r="B153" s="13">
        <v>45285</v>
      </c>
    </row>
    <row r="154" spans="1:2" x14ac:dyDescent="0.25">
      <c r="A154">
        <v>29050.604800000005</v>
      </c>
      <c r="B154" s="13">
        <v>45292</v>
      </c>
    </row>
    <row r="155" spans="1:2" x14ac:dyDescent="0.25">
      <c r="A155">
        <v>27531.864300000001</v>
      </c>
      <c r="B155" s="13">
        <v>45299</v>
      </c>
    </row>
    <row r="156" spans="1:2" x14ac:dyDescent="0.25">
      <c r="A156">
        <v>27142.793700000002</v>
      </c>
      <c r="B156" s="13">
        <v>45306</v>
      </c>
    </row>
    <row r="157" spans="1:2" x14ac:dyDescent="0.25">
      <c r="A157">
        <v>26572.839400000001</v>
      </c>
      <c r="B157" s="13">
        <v>45313</v>
      </c>
    </row>
    <row r="158" spans="1:2" x14ac:dyDescent="0.25">
      <c r="A158">
        <v>27586.470700000002</v>
      </c>
      <c r="B158" s="13">
        <v>45320</v>
      </c>
    </row>
    <row r="159" spans="1:2" x14ac:dyDescent="0.25">
      <c r="A159">
        <v>26333.936399999999</v>
      </c>
      <c r="B159" s="13">
        <v>45327</v>
      </c>
    </row>
    <row r="160" spans="1:2" x14ac:dyDescent="0.25">
      <c r="A160">
        <v>24115.5514</v>
      </c>
      <c r="B160" s="13">
        <v>45334</v>
      </c>
    </row>
    <row r="161" spans="1:2" x14ac:dyDescent="0.25">
      <c r="A161">
        <v>23921.016100000004</v>
      </c>
      <c r="B161" s="13">
        <v>45341</v>
      </c>
    </row>
    <row r="162" spans="1:2" x14ac:dyDescent="0.25">
      <c r="A162">
        <v>24197.461000000003</v>
      </c>
      <c r="B162" s="13">
        <v>45348</v>
      </c>
    </row>
    <row r="163" spans="1:2" x14ac:dyDescent="0.25">
      <c r="A163">
        <v>25897.085200000001</v>
      </c>
      <c r="B163" s="13">
        <v>45355</v>
      </c>
    </row>
    <row r="164" spans="1:2" x14ac:dyDescent="0.25">
      <c r="A164">
        <v>24098.4869</v>
      </c>
      <c r="B164" s="13">
        <v>45362</v>
      </c>
    </row>
    <row r="165" spans="1:2" x14ac:dyDescent="0.25">
      <c r="A165">
        <v>26436.323400000001</v>
      </c>
      <c r="B165" s="13">
        <v>45369</v>
      </c>
    </row>
    <row r="166" spans="1:2" x14ac:dyDescent="0.25">
      <c r="A166">
        <v>26733.245699999999</v>
      </c>
      <c r="B166" s="13">
        <v>45376</v>
      </c>
    </row>
    <row r="167" spans="1:2" x14ac:dyDescent="0.25">
      <c r="A167">
        <v>25456.821100000001</v>
      </c>
      <c r="B167" s="13">
        <v>45383</v>
      </c>
    </row>
    <row r="168" spans="1:2" x14ac:dyDescent="0.25">
      <c r="A168">
        <v>27931.173600000002</v>
      </c>
      <c r="B168" s="13">
        <v>45390</v>
      </c>
    </row>
    <row r="169" spans="1:2" x14ac:dyDescent="0.25">
      <c r="A169">
        <v>30265.597200000004</v>
      </c>
      <c r="B169" s="13">
        <v>45397</v>
      </c>
    </row>
    <row r="170" spans="1:2" x14ac:dyDescent="0.25">
      <c r="A170">
        <v>29258.791700000002</v>
      </c>
      <c r="B170" s="13">
        <v>45404</v>
      </c>
    </row>
    <row r="171" spans="1:2" x14ac:dyDescent="0.25">
      <c r="A171">
        <v>29272.443299999999</v>
      </c>
      <c r="B171" s="13">
        <v>45411</v>
      </c>
    </row>
    <row r="172" spans="1:2" x14ac:dyDescent="0.25">
      <c r="A172">
        <v>30214.403700000003</v>
      </c>
      <c r="B172" s="13">
        <v>45418</v>
      </c>
    </row>
    <row r="173" spans="1:2" x14ac:dyDescent="0.25">
      <c r="A173">
        <v>30088.126400000001</v>
      </c>
      <c r="B173" s="13">
        <v>45425</v>
      </c>
    </row>
    <row r="174" spans="1:2" x14ac:dyDescent="0.25">
      <c r="A174">
        <v>33804.7745</v>
      </c>
      <c r="B174" s="13">
        <v>45432</v>
      </c>
    </row>
    <row r="175" spans="1:2" x14ac:dyDescent="0.25">
      <c r="A175">
        <v>33736.516499999998</v>
      </c>
      <c r="B175" s="13">
        <v>45439</v>
      </c>
    </row>
    <row r="176" spans="1:2" x14ac:dyDescent="0.25">
      <c r="A176">
        <v>32978.852700000003</v>
      </c>
      <c r="B176" s="13">
        <v>45446</v>
      </c>
    </row>
    <row r="177" spans="1:2" x14ac:dyDescent="0.25">
      <c r="A177">
        <v>32483.982200000006</v>
      </c>
      <c r="B177" s="13">
        <v>45453</v>
      </c>
    </row>
    <row r="178" spans="1:2" x14ac:dyDescent="0.25">
      <c r="A178">
        <v>29470.391500000002</v>
      </c>
      <c r="B178" s="13">
        <v>45460</v>
      </c>
    </row>
    <row r="179" spans="1:2" x14ac:dyDescent="0.25">
      <c r="A179">
        <v>33381.5749</v>
      </c>
      <c r="B179" s="13">
        <v>45467</v>
      </c>
    </row>
    <row r="180" spans="1:2" x14ac:dyDescent="0.25">
      <c r="A180">
        <v>33125.607400000001</v>
      </c>
      <c r="B180" s="13">
        <v>45474</v>
      </c>
    </row>
    <row r="181" spans="1:2" x14ac:dyDescent="0.25">
      <c r="A181">
        <v>31565.912100000001</v>
      </c>
      <c r="B181" s="13">
        <v>45481</v>
      </c>
    </row>
    <row r="182" spans="1:2" x14ac:dyDescent="0.25">
      <c r="A182">
        <v>31821.8796</v>
      </c>
      <c r="B182" s="13">
        <v>45488</v>
      </c>
    </row>
    <row r="183" spans="1:2" x14ac:dyDescent="0.25">
      <c r="A183">
        <v>31821.8796</v>
      </c>
      <c r="B183" s="13">
        <v>45495</v>
      </c>
    </row>
    <row r="184" spans="1:2" x14ac:dyDescent="0.25">
      <c r="A184">
        <v>33767.232600000003</v>
      </c>
      <c r="B184" s="13">
        <v>45502</v>
      </c>
    </row>
    <row r="185" spans="1:2" x14ac:dyDescent="0.25">
      <c r="A185">
        <v>35279.147300000004</v>
      </c>
      <c r="B185" s="13">
        <v>45509</v>
      </c>
    </row>
    <row r="186" spans="1:2" x14ac:dyDescent="0.25">
      <c r="A186">
        <v>35681.869500000001</v>
      </c>
      <c r="B186" s="13">
        <v>45516</v>
      </c>
    </row>
    <row r="187" spans="1:2" x14ac:dyDescent="0.25">
      <c r="A187">
        <v>35965.140200000002</v>
      </c>
      <c r="B187" s="13">
        <v>45523</v>
      </c>
    </row>
    <row r="188" spans="1:2" x14ac:dyDescent="0.25">
      <c r="A188">
        <v>35487.334200000005</v>
      </c>
      <c r="B188" s="13">
        <v>45530</v>
      </c>
    </row>
    <row r="189" spans="1:2" x14ac:dyDescent="0.25">
      <c r="A189">
        <v>34125.587099999997</v>
      </c>
      <c r="B189" s="13">
        <v>45537</v>
      </c>
    </row>
    <row r="190" spans="1:2" x14ac:dyDescent="0.25">
      <c r="A190">
        <v>31709.2539</v>
      </c>
      <c r="B190" s="13">
        <v>45544</v>
      </c>
    </row>
    <row r="191" spans="1:2" x14ac:dyDescent="0.25">
      <c r="A191">
        <v>31439.634800000003</v>
      </c>
      <c r="B191" s="13">
        <v>45551</v>
      </c>
    </row>
    <row r="192" spans="1:2" x14ac:dyDescent="0.25">
      <c r="A192">
        <v>30695.622600000002</v>
      </c>
      <c r="B192" s="13">
        <v>45558</v>
      </c>
    </row>
    <row r="193" spans="1:2" x14ac:dyDescent="0.25">
      <c r="A193">
        <v>32849.162499999999</v>
      </c>
      <c r="B193" s="13">
        <v>45565</v>
      </c>
    </row>
    <row r="194" spans="1:2" x14ac:dyDescent="0.25">
      <c r="A194">
        <v>32992.504300000001</v>
      </c>
      <c r="B194" s="13">
        <v>45572</v>
      </c>
    </row>
    <row r="195" spans="1:2" x14ac:dyDescent="0.25">
      <c r="A195">
        <v>33197.278299999998</v>
      </c>
      <c r="B195" s="13">
        <v>45579</v>
      </c>
    </row>
    <row r="196" spans="1:2" x14ac:dyDescent="0.25">
      <c r="A196">
        <v>34398.619100000004</v>
      </c>
      <c r="B196" s="13">
        <v>45586</v>
      </c>
    </row>
    <row r="197" spans="1:2" x14ac:dyDescent="0.25">
      <c r="A197">
        <v>34094.871000000006</v>
      </c>
      <c r="B197" s="13">
        <v>45593</v>
      </c>
    </row>
    <row r="198" spans="1:2" x14ac:dyDescent="0.25">
      <c r="A198">
        <v>32931.072099999998</v>
      </c>
      <c r="B198" s="13">
        <v>45600</v>
      </c>
    </row>
    <row r="199" spans="1:2" x14ac:dyDescent="0.25">
      <c r="A199">
        <v>36715.978200000005</v>
      </c>
      <c r="B199" s="13">
        <v>45607</v>
      </c>
    </row>
    <row r="200" spans="1:2" x14ac:dyDescent="0.25">
      <c r="A200">
        <v>34330.361100000002</v>
      </c>
      <c r="B200" s="13">
        <v>45614</v>
      </c>
    </row>
    <row r="201" spans="1:2" x14ac:dyDescent="0.25">
      <c r="A201">
        <v>37139.177799999998</v>
      </c>
      <c r="B201" s="13">
        <v>45621</v>
      </c>
    </row>
    <row r="202" spans="1:2" x14ac:dyDescent="0.25">
      <c r="A202">
        <v>36456.597800000003</v>
      </c>
      <c r="B202" s="13">
        <v>45628</v>
      </c>
    </row>
    <row r="203" spans="1:2" x14ac:dyDescent="0.25">
      <c r="A203">
        <v>30890.157900000002</v>
      </c>
      <c r="B203" s="13">
        <v>45635</v>
      </c>
    </row>
    <row r="204" spans="1:2" x14ac:dyDescent="0.25">
      <c r="A204">
        <v>34603.393100000001</v>
      </c>
      <c r="B204" s="13">
        <v>45642</v>
      </c>
    </row>
    <row r="205" spans="1:2" x14ac:dyDescent="0.25">
      <c r="A205">
        <v>37149.416499999999</v>
      </c>
      <c r="B205" s="13">
        <v>45649</v>
      </c>
    </row>
    <row r="206" spans="1:2" x14ac:dyDescent="0.25">
      <c r="A206">
        <v>39924.104200000002</v>
      </c>
      <c r="B206" s="13">
        <v>45656</v>
      </c>
    </row>
    <row r="207" spans="1:2" x14ac:dyDescent="0.25">
      <c r="A207">
        <v>38064.073700000001</v>
      </c>
      <c r="B207" s="13">
        <v>45663</v>
      </c>
    </row>
    <row r="208" spans="1:2" x14ac:dyDescent="0.25">
      <c r="A208">
        <v>39678.375400000004</v>
      </c>
      <c r="B208" s="13">
        <v>45670</v>
      </c>
    </row>
    <row r="209" spans="1:2" x14ac:dyDescent="0.25">
      <c r="A209">
        <v>40108.400800000003</v>
      </c>
      <c r="B209" s="13">
        <v>45677</v>
      </c>
    </row>
    <row r="210" spans="1:2" x14ac:dyDescent="0.25">
      <c r="A210">
        <v>39159.614600000001</v>
      </c>
      <c r="B210" s="13">
        <v>45684</v>
      </c>
    </row>
    <row r="211" spans="1:2" x14ac:dyDescent="0.25">
      <c r="A211">
        <v>43121.991500000004</v>
      </c>
      <c r="B211" s="13">
        <v>45691</v>
      </c>
    </row>
    <row r="212" spans="1:2" x14ac:dyDescent="0.25">
      <c r="A212">
        <v>43811.397300000004</v>
      </c>
      <c r="B212" s="13">
        <v>45698</v>
      </c>
    </row>
    <row r="213" spans="1:2" x14ac:dyDescent="0.25">
      <c r="A213">
        <v>31565.912100000001</v>
      </c>
      <c r="B213" s="13">
        <v>45705</v>
      </c>
    </row>
    <row r="214" spans="1:2" x14ac:dyDescent="0.25">
      <c r="A214">
        <v>34965.160500000005</v>
      </c>
      <c r="B214" s="13">
        <v>45712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3184-FEA4-4D4D-8497-3B3CB8E91001}">
  <dimension ref="A1:R30"/>
  <sheetViews>
    <sheetView workbookViewId="0">
      <selection activeCell="K12" sqref="K12"/>
    </sheetView>
  </sheetViews>
  <sheetFormatPr defaultRowHeight="15" x14ac:dyDescent="0.25"/>
  <cols>
    <col min="2" max="2" width="15.28515625" bestFit="1" customWidth="1"/>
    <col min="3" max="3" width="22" bestFit="1" customWidth="1"/>
    <col min="4" max="4" width="22" customWidth="1"/>
    <col min="5" max="5" width="16.140625" bestFit="1" customWidth="1"/>
    <col min="6" max="6" width="9.85546875" bestFit="1" customWidth="1"/>
    <col min="7" max="7" width="9.5703125" bestFit="1" customWidth="1"/>
    <col min="8" max="8" width="11.85546875" customWidth="1"/>
    <col min="9" max="9" width="9.5703125" bestFit="1" customWidth="1"/>
  </cols>
  <sheetData>
    <row r="1" spans="1:18" x14ac:dyDescent="0.25">
      <c r="A1" s="1" t="s">
        <v>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252</v>
      </c>
      <c r="G1" s="15" t="s">
        <v>254</v>
      </c>
      <c r="H1" s="15" t="s">
        <v>253</v>
      </c>
    </row>
    <row r="2" spans="1:18" x14ac:dyDescent="0.25">
      <c r="A2">
        <v>74</v>
      </c>
      <c r="B2" s="3">
        <v>46500000</v>
      </c>
      <c r="C2">
        <v>107.64</v>
      </c>
      <c r="D2">
        <v>4.9000000000000004</v>
      </c>
      <c r="E2" s="3">
        <v>10000</v>
      </c>
      <c r="F2" s="8">
        <v>1.5800000000000002E-2</v>
      </c>
      <c r="G2" s="8">
        <v>490</v>
      </c>
      <c r="H2" s="16">
        <v>-2.1500000000000001E-8</v>
      </c>
    </row>
    <row r="3" spans="1:18" x14ac:dyDescent="0.25">
      <c r="A3">
        <v>77</v>
      </c>
      <c r="B3" s="3">
        <v>320000000</v>
      </c>
      <c r="C3">
        <v>214.12</v>
      </c>
      <c r="D3">
        <v>23.15</v>
      </c>
      <c r="E3" s="3">
        <v>158000000</v>
      </c>
      <c r="F3" s="8">
        <v>1.2E-2</v>
      </c>
      <c r="G3" s="8">
        <v>356000</v>
      </c>
      <c r="H3" s="16">
        <v>-2.09E-9</v>
      </c>
    </row>
    <row r="4" spans="1:18" x14ac:dyDescent="0.25">
      <c r="A4">
        <v>76</v>
      </c>
      <c r="B4" s="3">
        <v>116000000</v>
      </c>
      <c r="C4">
        <v>27.78</v>
      </c>
      <c r="D4">
        <v>27.78</v>
      </c>
      <c r="E4" s="3">
        <v>174000000</v>
      </c>
      <c r="F4" s="8">
        <v>2.5799999999999998E-3</v>
      </c>
      <c r="G4" s="8">
        <v>579000</v>
      </c>
      <c r="H4" s="16">
        <v>-3.4499999999999999E-9</v>
      </c>
    </row>
    <row r="5" spans="1:18" x14ac:dyDescent="0.25">
      <c r="A5">
        <v>75</v>
      </c>
      <c r="B5" s="3">
        <v>103000000</v>
      </c>
      <c r="C5">
        <v>234.03</v>
      </c>
      <c r="D5">
        <v>2.56</v>
      </c>
      <c r="E5" s="3">
        <v>10000</v>
      </c>
      <c r="F5" s="8">
        <v>2.3E-2</v>
      </c>
      <c r="G5" s="8">
        <v>256</v>
      </c>
      <c r="H5" s="16">
        <v>-9.6899999999999994E-9</v>
      </c>
    </row>
    <row r="6" spans="1:18" x14ac:dyDescent="0.25">
      <c r="A6">
        <v>47</v>
      </c>
      <c r="B6" s="3">
        <v>25000000</v>
      </c>
      <c r="C6">
        <v>32.409999999999997</v>
      </c>
      <c r="D6">
        <v>64.81</v>
      </c>
      <c r="E6" s="3">
        <v>12300000</v>
      </c>
      <c r="F6" s="8">
        <v>6.4799999999999996E-3</v>
      </c>
      <c r="G6" s="8">
        <v>278000</v>
      </c>
      <c r="H6" s="16">
        <v>-2.6799999999999998E-8</v>
      </c>
      <c r="O6" s="3">
        <v>46500000</v>
      </c>
      <c r="Q6">
        <v>107.64</v>
      </c>
      <c r="R6">
        <v>4.9000000000000004</v>
      </c>
    </row>
    <row r="7" spans="1:18" x14ac:dyDescent="0.25">
      <c r="A7">
        <v>42</v>
      </c>
      <c r="B7" s="3">
        <v>280000000</v>
      </c>
      <c r="C7">
        <v>86.81</v>
      </c>
      <c r="D7">
        <v>98.38</v>
      </c>
      <c r="E7" s="3">
        <v>420000000</v>
      </c>
      <c r="F7" s="8">
        <v>5.1900000000000002E-3</v>
      </c>
      <c r="G7" s="8">
        <v>3190000</v>
      </c>
      <c r="H7" s="16">
        <v>-1.43E-9</v>
      </c>
      <c r="O7" s="3">
        <v>320000000</v>
      </c>
      <c r="Q7">
        <v>214.12</v>
      </c>
      <c r="R7">
        <v>23.15</v>
      </c>
    </row>
    <row r="8" spans="1:18" x14ac:dyDescent="0.25">
      <c r="A8">
        <v>78</v>
      </c>
      <c r="B8" s="3">
        <v>80600000</v>
      </c>
      <c r="C8">
        <v>166.32</v>
      </c>
      <c r="D8">
        <v>2.4500000000000002</v>
      </c>
      <c r="E8" s="3">
        <v>10000</v>
      </c>
      <c r="F8" s="8">
        <v>1.8499999999999999E-2</v>
      </c>
      <c r="G8" s="8">
        <v>245</v>
      </c>
      <c r="H8" s="16">
        <v>-1.24E-8</v>
      </c>
      <c r="O8" s="3">
        <v>116000000</v>
      </c>
      <c r="Q8">
        <v>27.78</v>
      </c>
      <c r="R8">
        <v>27.78</v>
      </c>
    </row>
    <row r="9" spans="1:18" x14ac:dyDescent="0.25">
      <c r="A9">
        <v>55</v>
      </c>
      <c r="B9" s="3">
        <v>28000000</v>
      </c>
      <c r="C9">
        <v>52.39</v>
      </c>
      <c r="D9">
        <v>2.77</v>
      </c>
      <c r="E9" s="3">
        <v>10000</v>
      </c>
      <c r="F9" s="8">
        <v>9.9000000000000008E-3</v>
      </c>
      <c r="G9" s="8">
        <v>277</v>
      </c>
      <c r="H9" s="16">
        <v>-3.5700000000000002E-8</v>
      </c>
      <c r="O9" s="3">
        <v>103000000</v>
      </c>
      <c r="Q9">
        <v>234.03</v>
      </c>
      <c r="R9">
        <v>2.56</v>
      </c>
    </row>
    <row r="10" spans="1:18" x14ac:dyDescent="0.25">
      <c r="A10">
        <v>73</v>
      </c>
      <c r="B10" s="3">
        <v>3340000000</v>
      </c>
      <c r="C10">
        <v>509.26</v>
      </c>
      <c r="D10">
        <v>173.6</v>
      </c>
      <c r="E10" s="3">
        <v>5200000000</v>
      </c>
      <c r="F10" s="8">
        <v>8.8100000000000001E-3</v>
      </c>
      <c r="G10" s="8">
        <v>20000000</v>
      </c>
      <c r="H10" s="17">
        <v>-1.1700000000000001E-10</v>
      </c>
      <c r="O10" s="3">
        <v>25000000</v>
      </c>
      <c r="Q10">
        <v>32.409999999999997</v>
      </c>
      <c r="R10">
        <v>64.81</v>
      </c>
    </row>
    <row r="11" spans="1:18" x14ac:dyDescent="0.25">
      <c r="O11" s="3">
        <v>280000000</v>
      </c>
      <c r="Q11">
        <v>86.81</v>
      </c>
      <c r="R11">
        <v>98.38</v>
      </c>
    </row>
    <row r="12" spans="1:18" x14ac:dyDescent="0.25">
      <c r="A12" t="s">
        <v>249</v>
      </c>
      <c r="B12" t="s">
        <v>250</v>
      </c>
      <c r="C12" t="s">
        <v>256</v>
      </c>
      <c r="D12" t="s">
        <v>255</v>
      </c>
      <c r="E12" t="s">
        <v>251</v>
      </c>
      <c r="F12" t="s">
        <v>252</v>
      </c>
      <c r="G12" s="6" t="s">
        <v>254</v>
      </c>
      <c r="H12" s="6" t="s">
        <v>253</v>
      </c>
      <c r="O12" s="3">
        <v>80600000</v>
      </c>
      <c r="Q12">
        <v>166.32</v>
      </c>
      <c r="R12">
        <v>2.4500000000000002</v>
      </c>
    </row>
    <row r="13" spans="1:18" x14ac:dyDescent="0.25">
      <c r="O13" s="3">
        <v>28000000</v>
      </c>
      <c r="Q13">
        <v>52.39</v>
      </c>
      <c r="R13">
        <v>2.77</v>
      </c>
    </row>
    <row r="14" spans="1:18" x14ac:dyDescent="0.25">
      <c r="O14" s="3">
        <v>3340000000</v>
      </c>
      <c r="Q14">
        <v>509.26</v>
      </c>
      <c r="R14">
        <v>173.6</v>
      </c>
    </row>
    <row r="21" spans="10:12" x14ac:dyDescent="0.25">
      <c r="J21" s="7"/>
      <c r="K21" s="7"/>
      <c r="L21" s="7"/>
    </row>
    <row r="22" spans="10:12" x14ac:dyDescent="0.25">
      <c r="J22" s="8"/>
      <c r="K22" s="8"/>
      <c r="L22" s="8"/>
    </row>
    <row r="23" spans="10:12" x14ac:dyDescent="0.25">
      <c r="J23" s="8"/>
      <c r="K23" s="8"/>
      <c r="L23" s="8"/>
    </row>
    <row r="24" spans="10:12" x14ac:dyDescent="0.25">
      <c r="J24" s="8"/>
      <c r="K24" s="8"/>
      <c r="L24" s="8"/>
    </row>
    <row r="25" spans="10:12" x14ac:dyDescent="0.25">
      <c r="J25" s="8"/>
      <c r="K25" s="8"/>
      <c r="L25" s="8"/>
    </row>
    <row r="26" spans="10:12" x14ac:dyDescent="0.25">
      <c r="J26" s="8"/>
      <c r="K26" s="8"/>
      <c r="L26" s="8"/>
    </row>
    <row r="27" spans="10:12" x14ac:dyDescent="0.25">
      <c r="J27" s="8"/>
      <c r="K27" s="8"/>
      <c r="L27" s="8"/>
    </row>
    <row r="28" spans="10:12" x14ac:dyDescent="0.25">
      <c r="J28" s="8"/>
      <c r="K28" s="8"/>
      <c r="L28" s="8"/>
    </row>
    <row r="29" spans="10:12" x14ac:dyDescent="0.25">
      <c r="J29" s="8"/>
      <c r="K29" s="8"/>
      <c r="L29" s="8"/>
    </row>
    <row r="30" spans="10:12" x14ac:dyDescent="0.25">
      <c r="J30" s="8"/>
      <c r="K30" s="8"/>
      <c r="L3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6148-B414-4AE2-8D34-DC6689D184AB}">
  <dimension ref="A1:N79"/>
  <sheetViews>
    <sheetView workbookViewId="0">
      <selection sqref="A1:B1"/>
    </sheetView>
  </sheetViews>
  <sheetFormatPr defaultRowHeight="15" x14ac:dyDescent="0.25"/>
  <cols>
    <col min="1" max="1" width="13.5703125" bestFit="1" customWidth="1"/>
    <col min="2" max="2" width="7.42578125" bestFit="1" customWidth="1"/>
    <col min="3" max="3" width="11.85546875" bestFit="1" customWidth="1"/>
  </cols>
  <sheetData>
    <row r="1" spans="1:14" x14ac:dyDescent="0.25">
      <c r="A1" s="14" t="s">
        <v>365</v>
      </c>
      <c r="B1" s="14" t="s">
        <v>366</v>
      </c>
    </row>
    <row r="2" spans="1:14" x14ac:dyDescent="0.25">
      <c r="A2">
        <v>2</v>
      </c>
      <c r="B2">
        <v>2</v>
      </c>
      <c r="C2" t="s">
        <v>297</v>
      </c>
      <c r="D2" t="s">
        <v>171</v>
      </c>
      <c r="J2">
        <v>1</v>
      </c>
      <c r="K2" t="s">
        <v>296</v>
      </c>
      <c r="M2">
        <v>1</v>
      </c>
      <c r="N2" t="s">
        <v>170</v>
      </c>
    </row>
    <row r="3" spans="1:14" x14ac:dyDescent="0.25">
      <c r="A3">
        <v>4</v>
      </c>
      <c r="B3">
        <v>4</v>
      </c>
      <c r="C3" t="s">
        <v>299</v>
      </c>
      <c r="D3" t="s">
        <v>173</v>
      </c>
      <c r="J3">
        <v>2</v>
      </c>
      <c r="K3" t="s">
        <v>297</v>
      </c>
      <c r="M3">
        <v>2</v>
      </c>
      <c r="N3" t="s">
        <v>171</v>
      </c>
    </row>
    <row r="4" spans="1:14" x14ac:dyDescent="0.25">
      <c r="A4">
        <v>5</v>
      </c>
      <c r="B4">
        <v>5</v>
      </c>
      <c r="C4" t="s">
        <v>300</v>
      </c>
      <c r="D4" t="s">
        <v>173</v>
      </c>
      <c r="J4">
        <v>3</v>
      </c>
      <c r="K4" t="s">
        <v>298</v>
      </c>
      <c r="M4">
        <v>3</v>
      </c>
      <c r="N4" t="s">
        <v>171</v>
      </c>
    </row>
    <row r="5" spans="1:14" x14ac:dyDescent="0.25">
      <c r="A5">
        <v>10</v>
      </c>
      <c r="B5">
        <v>10</v>
      </c>
      <c r="C5" t="s">
        <v>305</v>
      </c>
      <c r="D5" t="s">
        <v>174</v>
      </c>
      <c r="J5">
        <v>4</v>
      </c>
      <c r="K5" t="s">
        <v>299</v>
      </c>
      <c r="M5">
        <v>4</v>
      </c>
      <c r="N5" t="s">
        <v>173</v>
      </c>
    </row>
    <row r="6" spans="1:14" x14ac:dyDescent="0.25">
      <c r="A6">
        <v>11</v>
      </c>
      <c r="B6">
        <v>44</v>
      </c>
      <c r="C6" t="s">
        <v>306</v>
      </c>
      <c r="D6" t="s">
        <v>178</v>
      </c>
      <c r="J6">
        <v>5</v>
      </c>
      <c r="K6" t="s">
        <v>300</v>
      </c>
      <c r="M6">
        <v>5</v>
      </c>
      <c r="N6" t="s">
        <v>173</v>
      </c>
    </row>
    <row r="7" spans="1:14" x14ac:dyDescent="0.25">
      <c r="A7">
        <v>12</v>
      </c>
      <c r="B7">
        <v>46</v>
      </c>
      <c r="C7" t="s">
        <v>307</v>
      </c>
      <c r="D7" t="s">
        <v>178</v>
      </c>
      <c r="J7">
        <v>6</v>
      </c>
      <c r="K7" t="s">
        <v>301</v>
      </c>
      <c r="M7">
        <v>6</v>
      </c>
      <c r="N7" t="s">
        <v>177</v>
      </c>
    </row>
    <row r="8" spans="1:14" x14ac:dyDescent="0.25">
      <c r="A8">
        <v>16</v>
      </c>
      <c r="B8">
        <v>20</v>
      </c>
      <c r="C8" t="s">
        <v>311</v>
      </c>
      <c r="D8" t="s">
        <v>181</v>
      </c>
      <c r="J8">
        <v>7</v>
      </c>
      <c r="K8" t="s">
        <v>302</v>
      </c>
      <c r="M8">
        <v>7</v>
      </c>
      <c r="N8" t="s">
        <v>177</v>
      </c>
    </row>
    <row r="9" spans="1:14" x14ac:dyDescent="0.25">
      <c r="A9">
        <v>18</v>
      </c>
      <c r="B9">
        <v>37</v>
      </c>
      <c r="C9" t="s">
        <v>313</v>
      </c>
      <c r="D9" t="s">
        <v>190</v>
      </c>
      <c r="J9">
        <v>8</v>
      </c>
      <c r="K9" t="s">
        <v>303</v>
      </c>
      <c r="M9">
        <v>8</v>
      </c>
      <c r="N9" t="s">
        <v>160</v>
      </c>
    </row>
    <row r="10" spans="1:14" x14ac:dyDescent="0.25">
      <c r="A10">
        <v>19</v>
      </c>
      <c r="B10">
        <v>28</v>
      </c>
      <c r="C10" t="s">
        <v>314</v>
      </c>
      <c r="J10">
        <v>9</v>
      </c>
      <c r="K10" t="s">
        <v>304</v>
      </c>
      <c r="M10">
        <v>9</v>
      </c>
      <c r="N10" t="s">
        <v>174</v>
      </c>
    </row>
    <row r="11" spans="1:14" x14ac:dyDescent="0.25">
      <c r="A11">
        <v>21</v>
      </c>
      <c r="B11">
        <v>33</v>
      </c>
      <c r="C11" t="s">
        <v>316</v>
      </c>
      <c r="J11">
        <v>10</v>
      </c>
      <c r="K11" t="s">
        <v>305</v>
      </c>
      <c r="M11">
        <v>10</v>
      </c>
      <c r="N11" t="s">
        <v>174</v>
      </c>
    </row>
    <row r="12" spans="1:14" x14ac:dyDescent="0.25">
      <c r="A12">
        <v>22</v>
      </c>
      <c r="B12">
        <v>30</v>
      </c>
      <c r="C12" t="s">
        <v>317</v>
      </c>
      <c r="J12">
        <v>11</v>
      </c>
      <c r="K12" t="s">
        <v>306</v>
      </c>
      <c r="M12">
        <v>11</v>
      </c>
      <c r="N12" t="s">
        <v>178</v>
      </c>
    </row>
    <row r="13" spans="1:14" x14ac:dyDescent="0.25">
      <c r="A13">
        <v>23</v>
      </c>
      <c r="B13">
        <v>59</v>
      </c>
      <c r="C13" t="s">
        <v>318</v>
      </c>
      <c r="J13">
        <v>12</v>
      </c>
      <c r="K13" t="s">
        <v>307</v>
      </c>
      <c r="M13">
        <v>12</v>
      </c>
      <c r="N13" t="s">
        <v>178</v>
      </c>
    </row>
    <row r="14" spans="1:14" x14ac:dyDescent="0.25">
      <c r="A14">
        <v>25</v>
      </c>
      <c r="B14">
        <v>38</v>
      </c>
      <c r="C14" t="s">
        <v>320</v>
      </c>
      <c r="J14">
        <v>13</v>
      </c>
      <c r="K14" t="s">
        <v>308</v>
      </c>
      <c r="M14">
        <v>13</v>
      </c>
      <c r="N14" t="s">
        <v>175</v>
      </c>
    </row>
    <row r="15" spans="1:14" x14ac:dyDescent="0.25">
      <c r="A15">
        <v>26</v>
      </c>
      <c r="B15">
        <v>36</v>
      </c>
      <c r="C15" t="s">
        <v>321</v>
      </c>
      <c r="J15">
        <v>14</v>
      </c>
      <c r="K15" t="s">
        <v>309</v>
      </c>
      <c r="M15">
        <v>14</v>
      </c>
      <c r="N15" t="s">
        <v>163</v>
      </c>
    </row>
    <row r="16" spans="1:14" x14ac:dyDescent="0.25">
      <c r="A16">
        <v>28</v>
      </c>
      <c r="B16">
        <v>41</v>
      </c>
      <c r="C16" t="s">
        <v>323</v>
      </c>
      <c r="J16">
        <v>15</v>
      </c>
      <c r="K16" t="s">
        <v>310</v>
      </c>
      <c r="M16">
        <v>15</v>
      </c>
      <c r="N16" t="s">
        <v>176</v>
      </c>
    </row>
    <row r="17" spans="1:14" x14ac:dyDescent="0.25">
      <c r="A17">
        <v>29</v>
      </c>
      <c r="B17">
        <v>43</v>
      </c>
      <c r="C17" t="s">
        <v>324</v>
      </c>
      <c r="J17">
        <v>16</v>
      </c>
      <c r="K17" t="s">
        <v>311</v>
      </c>
      <c r="M17">
        <v>16</v>
      </c>
      <c r="N17" t="s">
        <v>176</v>
      </c>
    </row>
    <row r="18" spans="1:14" x14ac:dyDescent="0.25">
      <c r="J18">
        <v>17</v>
      </c>
      <c r="K18" t="s">
        <v>312</v>
      </c>
      <c r="M18">
        <v>17</v>
      </c>
      <c r="N18" t="s">
        <v>179</v>
      </c>
    </row>
    <row r="19" spans="1:14" x14ac:dyDescent="0.25">
      <c r="J19">
        <v>18</v>
      </c>
      <c r="K19" t="s">
        <v>313</v>
      </c>
      <c r="M19">
        <v>18</v>
      </c>
      <c r="N19" t="s">
        <v>166</v>
      </c>
    </row>
    <row r="20" spans="1:14" x14ac:dyDescent="0.25">
      <c r="J20">
        <v>19</v>
      </c>
      <c r="K20" t="s">
        <v>314</v>
      </c>
      <c r="M20">
        <v>19</v>
      </c>
      <c r="N20" t="s">
        <v>180</v>
      </c>
    </row>
    <row r="21" spans="1:14" x14ac:dyDescent="0.25">
      <c r="J21">
        <v>20</v>
      </c>
      <c r="K21" t="s">
        <v>315</v>
      </c>
      <c r="M21">
        <v>20</v>
      </c>
      <c r="N21" t="s">
        <v>181</v>
      </c>
    </row>
    <row r="22" spans="1:14" x14ac:dyDescent="0.25">
      <c r="J22">
        <v>21</v>
      </c>
      <c r="K22" t="s">
        <v>316</v>
      </c>
      <c r="M22">
        <v>21</v>
      </c>
      <c r="N22" t="s">
        <v>181</v>
      </c>
    </row>
    <row r="23" spans="1:14" x14ac:dyDescent="0.25">
      <c r="J23">
        <v>22</v>
      </c>
      <c r="K23" t="s">
        <v>317</v>
      </c>
      <c r="M23">
        <v>22</v>
      </c>
      <c r="N23" t="s">
        <v>182</v>
      </c>
    </row>
    <row r="24" spans="1:14" x14ac:dyDescent="0.25">
      <c r="J24">
        <v>23</v>
      </c>
      <c r="K24" t="s">
        <v>318</v>
      </c>
      <c r="M24">
        <v>23</v>
      </c>
      <c r="N24" t="s">
        <v>183</v>
      </c>
    </row>
    <row r="25" spans="1:14" x14ac:dyDescent="0.25">
      <c r="J25">
        <v>24</v>
      </c>
      <c r="K25" t="s">
        <v>319</v>
      </c>
      <c r="M25">
        <v>24</v>
      </c>
      <c r="N25" t="s">
        <v>183</v>
      </c>
    </row>
    <row r="26" spans="1:14" x14ac:dyDescent="0.25">
      <c r="J26">
        <v>25</v>
      </c>
      <c r="K26" t="s">
        <v>320</v>
      </c>
      <c r="M26">
        <v>25</v>
      </c>
      <c r="N26" t="s">
        <v>164</v>
      </c>
    </row>
    <row r="27" spans="1:14" x14ac:dyDescent="0.25">
      <c r="J27">
        <v>26</v>
      </c>
      <c r="K27" t="s">
        <v>321</v>
      </c>
      <c r="M27">
        <v>26</v>
      </c>
      <c r="N27" t="s">
        <v>184</v>
      </c>
    </row>
    <row r="28" spans="1:14" x14ac:dyDescent="0.25">
      <c r="J28">
        <v>27</v>
      </c>
      <c r="K28" t="s">
        <v>322</v>
      </c>
      <c r="M28">
        <v>27</v>
      </c>
      <c r="N28" t="s">
        <v>184</v>
      </c>
    </row>
    <row r="29" spans="1:14" x14ac:dyDescent="0.25">
      <c r="J29">
        <v>28</v>
      </c>
      <c r="K29" t="s">
        <v>323</v>
      </c>
      <c r="M29">
        <v>28</v>
      </c>
      <c r="N29" t="s">
        <v>185</v>
      </c>
    </row>
    <row r="30" spans="1:14" x14ac:dyDescent="0.25">
      <c r="J30">
        <v>29</v>
      </c>
      <c r="K30" t="s">
        <v>324</v>
      </c>
      <c r="M30">
        <v>29</v>
      </c>
      <c r="N30" t="s">
        <v>185</v>
      </c>
    </row>
    <row r="31" spans="1:14" x14ac:dyDescent="0.25">
      <c r="J31">
        <v>30</v>
      </c>
      <c r="K31" t="s">
        <v>325</v>
      </c>
      <c r="M31">
        <v>30</v>
      </c>
      <c r="N31" t="s">
        <v>186</v>
      </c>
    </row>
    <row r="32" spans="1:14" x14ac:dyDescent="0.25">
      <c r="J32">
        <v>31</v>
      </c>
      <c r="K32" t="s">
        <v>326</v>
      </c>
      <c r="M32">
        <v>31</v>
      </c>
      <c r="N32" t="s">
        <v>186</v>
      </c>
    </row>
    <row r="33" spans="10:14" x14ac:dyDescent="0.25">
      <c r="J33">
        <v>32</v>
      </c>
      <c r="K33" t="s">
        <v>327</v>
      </c>
      <c r="M33">
        <v>32</v>
      </c>
      <c r="N33" t="s">
        <v>187</v>
      </c>
    </row>
    <row r="34" spans="10:14" x14ac:dyDescent="0.25">
      <c r="J34">
        <v>33</v>
      </c>
      <c r="K34" t="s">
        <v>328</v>
      </c>
      <c r="M34">
        <v>33</v>
      </c>
      <c r="N34" t="s">
        <v>187</v>
      </c>
    </row>
    <row r="35" spans="10:14" x14ac:dyDescent="0.25">
      <c r="J35">
        <v>34</v>
      </c>
      <c r="K35" t="s">
        <v>329</v>
      </c>
      <c r="M35">
        <v>34</v>
      </c>
      <c r="N35" t="s">
        <v>188</v>
      </c>
    </row>
    <row r="36" spans="10:14" x14ac:dyDescent="0.25">
      <c r="J36">
        <v>35</v>
      </c>
      <c r="K36" t="s">
        <v>330</v>
      </c>
      <c r="M36">
        <v>35</v>
      </c>
      <c r="N36" t="s">
        <v>188</v>
      </c>
    </row>
    <row r="37" spans="10:14" x14ac:dyDescent="0.25">
      <c r="M37">
        <v>36</v>
      </c>
      <c r="N37" t="s">
        <v>189</v>
      </c>
    </row>
    <row r="38" spans="10:14" x14ac:dyDescent="0.25">
      <c r="M38">
        <v>37</v>
      </c>
      <c r="N38" t="s">
        <v>190</v>
      </c>
    </row>
    <row r="39" spans="10:14" x14ac:dyDescent="0.25">
      <c r="M39">
        <v>38</v>
      </c>
      <c r="N39" t="s">
        <v>191</v>
      </c>
    </row>
    <row r="40" spans="10:14" x14ac:dyDescent="0.25">
      <c r="M40">
        <v>39</v>
      </c>
      <c r="N40" t="s">
        <v>192</v>
      </c>
    </row>
    <row r="41" spans="10:14" x14ac:dyDescent="0.25">
      <c r="M41">
        <v>40</v>
      </c>
      <c r="N41" t="s">
        <v>192</v>
      </c>
    </row>
    <row r="42" spans="10:14" x14ac:dyDescent="0.25">
      <c r="M42">
        <v>41</v>
      </c>
      <c r="N42" t="s">
        <v>193</v>
      </c>
    </row>
    <row r="43" spans="10:14" x14ac:dyDescent="0.25">
      <c r="M43">
        <v>42</v>
      </c>
      <c r="N43" t="s">
        <v>193</v>
      </c>
    </row>
    <row r="44" spans="10:14" x14ac:dyDescent="0.25">
      <c r="M44">
        <v>43</v>
      </c>
      <c r="N44" t="s">
        <v>194</v>
      </c>
    </row>
    <row r="45" spans="10:14" x14ac:dyDescent="0.25">
      <c r="M45">
        <v>44</v>
      </c>
      <c r="N45" t="s">
        <v>195</v>
      </c>
    </row>
    <row r="46" spans="10:14" x14ac:dyDescent="0.25">
      <c r="M46">
        <v>45</v>
      </c>
      <c r="N46" t="s">
        <v>196</v>
      </c>
    </row>
    <row r="47" spans="10:14" x14ac:dyDescent="0.25">
      <c r="M47">
        <v>46</v>
      </c>
      <c r="N47" t="s">
        <v>197</v>
      </c>
    </row>
    <row r="48" spans="10:14" x14ac:dyDescent="0.25">
      <c r="M48">
        <v>47</v>
      </c>
      <c r="N48" t="s">
        <v>198</v>
      </c>
    </row>
    <row r="49" spans="13:14" x14ac:dyDescent="0.25">
      <c r="M49">
        <v>48</v>
      </c>
      <c r="N49" t="s">
        <v>199</v>
      </c>
    </row>
    <row r="50" spans="13:14" x14ac:dyDescent="0.25">
      <c r="M50">
        <v>49</v>
      </c>
      <c r="N50" t="s">
        <v>199</v>
      </c>
    </row>
    <row r="51" spans="13:14" x14ac:dyDescent="0.25">
      <c r="M51">
        <v>50</v>
      </c>
      <c r="N51" t="s">
        <v>200</v>
      </c>
    </row>
    <row r="52" spans="13:14" x14ac:dyDescent="0.25">
      <c r="M52">
        <v>51</v>
      </c>
      <c r="N52" t="s">
        <v>200</v>
      </c>
    </row>
    <row r="53" spans="13:14" x14ac:dyDescent="0.25">
      <c r="M53">
        <v>52</v>
      </c>
      <c r="N53" t="s">
        <v>201</v>
      </c>
    </row>
    <row r="54" spans="13:14" x14ac:dyDescent="0.25">
      <c r="M54">
        <v>53</v>
      </c>
      <c r="N54" t="s">
        <v>202</v>
      </c>
    </row>
    <row r="55" spans="13:14" x14ac:dyDescent="0.25">
      <c r="M55">
        <v>54</v>
      </c>
      <c r="N55" t="s">
        <v>202</v>
      </c>
    </row>
    <row r="56" spans="13:14" x14ac:dyDescent="0.25">
      <c r="M56">
        <v>55</v>
      </c>
      <c r="N56" t="s">
        <v>203</v>
      </c>
    </row>
    <row r="57" spans="13:14" x14ac:dyDescent="0.25">
      <c r="M57">
        <v>56</v>
      </c>
      <c r="N57" t="s">
        <v>204</v>
      </c>
    </row>
    <row r="58" spans="13:14" x14ac:dyDescent="0.25">
      <c r="M58">
        <v>57</v>
      </c>
      <c r="N58" t="s">
        <v>205</v>
      </c>
    </row>
    <row r="59" spans="13:14" x14ac:dyDescent="0.25">
      <c r="M59">
        <v>58</v>
      </c>
      <c r="N59" t="s">
        <v>205</v>
      </c>
    </row>
    <row r="60" spans="13:14" x14ac:dyDescent="0.25">
      <c r="M60">
        <v>59</v>
      </c>
      <c r="N60" t="s">
        <v>201</v>
      </c>
    </row>
    <row r="61" spans="13:14" x14ac:dyDescent="0.25">
      <c r="M61">
        <v>60</v>
      </c>
      <c r="N61" t="s">
        <v>206</v>
      </c>
    </row>
    <row r="62" spans="13:14" x14ac:dyDescent="0.25">
      <c r="M62">
        <v>61</v>
      </c>
      <c r="N62" t="s">
        <v>170</v>
      </c>
    </row>
    <row r="63" spans="13:14" x14ac:dyDescent="0.25">
      <c r="M63">
        <v>62</v>
      </c>
      <c r="N63" t="s">
        <v>170</v>
      </c>
    </row>
    <row r="64" spans="13:14" x14ac:dyDescent="0.25">
      <c r="M64">
        <v>63</v>
      </c>
      <c r="N64" t="s">
        <v>170</v>
      </c>
    </row>
    <row r="65" spans="13:14" x14ac:dyDescent="0.25">
      <c r="M65">
        <v>64</v>
      </c>
      <c r="N65" t="s">
        <v>205</v>
      </c>
    </row>
    <row r="66" spans="13:14" x14ac:dyDescent="0.25">
      <c r="M66">
        <v>65</v>
      </c>
      <c r="N66" t="s">
        <v>182</v>
      </c>
    </row>
    <row r="67" spans="13:14" x14ac:dyDescent="0.25">
      <c r="M67">
        <v>66</v>
      </c>
      <c r="N67" t="s">
        <v>160</v>
      </c>
    </row>
    <row r="68" spans="13:14" x14ac:dyDescent="0.25">
      <c r="M68">
        <v>67</v>
      </c>
      <c r="N68" t="s">
        <v>196</v>
      </c>
    </row>
    <row r="69" spans="13:14" x14ac:dyDescent="0.25">
      <c r="M69">
        <v>68</v>
      </c>
      <c r="N69" t="s">
        <v>163</v>
      </c>
    </row>
    <row r="70" spans="13:14" x14ac:dyDescent="0.25">
      <c r="M70">
        <v>69</v>
      </c>
      <c r="N70" t="s">
        <v>164</v>
      </c>
    </row>
    <row r="71" spans="13:14" x14ac:dyDescent="0.25">
      <c r="M71">
        <v>70</v>
      </c>
      <c r="N71" t="s">
        <v>189</v>
      </c>
    </row>
    <row r="72" spans="13:14" x14ac:dyDescent="0.25">
      <c r="M72">
        <v>71</v>
      </c>
      <c r="N72" t="s">
        <v>166</v>
      </c>
    </row>
    <row r="73" spans="13:14" x14ac:dyDescent="0.25">
      <c r="M73">
        <v>72</v>
      </c>
      <c r="N73" t="s">
        <v>204</v>
      </c>
    </row>
    <row r="74" spans="13:14" x14ac:dyDescent="0.25">
      <c r="M74">
        <v>73</v>
      </c>
      <c r="N74" t="s">
        <v>207</v>
      </c>
    </row>
    <row r="75" spans="13:14" x14ac:dyDescent="0.25">
      <c r="M75">
        <v>74</v>
      </c>
      <c r="N75" t="s">
        <v>172</v>
      </c>
    </row>
    <row r="76" spans="13:14" x14ac:dyDescent="0.25">
      <c r="M76">
        <v>75</v>
      </c>
      <c r="N76" t="s">
        <v>210</v>
      </c>
    </row>
    <row r="77" spans="13:14" x14ac:dyDescent="0.25">
      <c r="M77">
        <v>76</v>
      </c>
      <c r="N77" t="s">
        <v>211</v>
      </c>
    </row>
    <row r="78" spans="13:14" x14ac:dyDescent="0.25">
      <c r="M78">
        <v>77</v>
      </c>
      <c r="N78" t="s">
        <v>209</v>
      </c>
    </row>
    <row r="79" spans="13:14" x14ac:dyDescent="0.25">
      <c r="M79">
        <v>78</v>
      </c>
      <c r="N79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1798-41A7-4704-B1CE-3330095F4722}">
  <dimension ref="A1:I3"/>
  <sheetViews>
    <sheetView workbookViewId="0">
      <selection activeCell="I16" sqref="I16"/>
    </sheetView>
  </sheetViews>
  <sheetFormatPr defaultRowHeight="15" x14ac:dyDescent="0.25"/>
  <sheetData>
    <row r="1" spans="1:9" x14ac:dyDescent="0.25">
      <c r="A1" s="9" t="s">
        <v>293</v>
      </c>
      <c r="B1" s="9" t="s">
        <v>294</v>
      </c>
      <c r="C1" t="s">
        <v>36</v>
      </c>
      <c r="D1" t="s">
        <v>37</v>
      </c>
      <c r="E1" t="s">
        <v>38</v>
      </c>
    </row>
    <row r="3" spans="1:9" x14ac:dyDescent="0.25">
      <c r="I3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branch</vt:lpstr>
      <vt:lpstr>gen</vt:lpstr>
      <vt:lpstr>gencost</vt:lpstr>
      <vt:lpstr>Gbus</vt:lpstr>
      <vt:lpstr>Gline</vt:lpstr>
      <vt:lpstr>Gsou</vt:lpstr>
      <vt:lpstr>Gcost</vt:lpstr>
      <vt:lpstr>Gstore</vt:lpstr>
      <vt:lpstr>GEcon</vt:lpstr>
      <vt:lpstr>ptg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Wang</dc:creator>
  <cp:lastModifiedBy>Sheng Wang</cp:lastModifiedBy>
  <dcterms:created xsi:type="dcterms:W3CDTF">2015-06-05T18:17:20Z</dcterms:created>
  <dcterms:modified xsi:type="dcterms:W3CDTF">2026-02-18T11:18:20Z</dcterms:modified>
</cp:coreProperties>
</file>